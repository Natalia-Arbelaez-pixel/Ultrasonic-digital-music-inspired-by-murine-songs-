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atya\OneDrive\Escritorio\"/>
    </mc:Choice>
  </mc:AlternateContent>
  <bookViews>
    <workbookView xWindow="0" yWindow="0" windowWidth="20490" windowHeight="7650" firstSheet="6" activeTab="8"/>
  </bookViews>
  <sheets>
    <sheet name="CAMPO ABIERTO AMBAS CEPAS" sheetId="12" r:id="rId1"/>
    <sheet name="CAMPO ABIERTO C57" sheetId="10" r:id="rId2"/>
    <sheet name="CAMPO ABIERTO BALB-C" sheetId="11" r:id="rId3"/>
    <sheet name="PM Estimulados total" sheetId="2" r:id="rId4"/>
    <sheet name="PM Control total" sheetId="3" r:id="rId5"/>
    <sheet name="PM Estimulado cepa" sheetId="7" r:id="rId6"/>
    <sheet name="PM Control cepa" sheetId="4" r:id="rId7"/>
    <sheet name="PM Estimulados sexo" sheetId="5" r:id="rId8"/>
    <sheet name="PM Control sexo" sheetId="6" r:id="rId9"/>
  </sheets>
  <calcPr calcId="162913"/>
</workbook>
</file>

<file path=xl/calcChain.xml><?xml version="1.0" encoding="utf-8"?>
<calcChain xmlns="http://schemas.openxmlformats.org/spreadsheetml/2006/main">
  <c r="C29" i="4" l="1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B29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B13" i="4"/>
  <c r="C29" i="7"/>
  <c r="D29" i="7"/>
  <c r="E29" i="7"/>
  <c r="F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B29" i="7"/>
  <c r="C13" i="7"/>
  <c r="D13" i="7"/>
  <c r="E13" i="7"/>
  <c r="F13" i="7"/>
  <c r="G13" i="7"/>
  <c r="H13" i="7"/>
  <c r="I13" i="7"/>
  <c r="J13" i="7"/>
  <c r="K13" i="7"/>
  <c r="L13" i="7"/>
  <c r="M13" i="7"/>
  <c r="N13" i="7"/>
  <c r="O13" i="7"/>
  <c r="P13" i="7"/>
  <c r="Q13" i="7"/>
  <c r="R13" i="7"/>
  <c r="S13" i="7"/>
  <c r="T13" i="7"/>
  <c r="B13" i="7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B25" i="3"/>
  <c r="C25" i="2"/>
  <c r="D25" i="2"/>
  <c r="E25" i="2"/>
  <c r="F25" i="2"/>
  <c r="G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B25" i="2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C28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C14" i="11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C30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C15" i="10"/>
  <c r="E25" i="12"/>
  <c r="F25" i="12"/>
  <c r="G25" i="12"/>
  <c r="H25" i="12"/>
  <c r="I25" i="12"/>
  <c r="J25" i="12"/>
  <c r="K25" i="12"/>
  <c r="L25" i="12"/>
  <c r="M25" i="12"/>
  <c r="N25" i="12"/>
  <c r="O25" i="12"/>
  <c r="P25" i="12"/>
  <c r="Q25" i="12"/>
  <c r="R25" i="12"/>
  <c r="S25" i="12"/>
  <c r="T25" i="12"/>
  <c r="U25" i="12"/>
  <c r="V25" i="12"/>
  <c r="W25" i="12"/>
  <c r="X25" i="12"/>
  <c r="Y25" i="12"/>
  <c r="D25" i="12"/>
  <c r="E48" i="12"/>
  <c r="F48" i="12"/>
  <c r="G48" i="12"/>
  <c r="H48" i="12"/>
  <c r="I48" i="12"/>
  <c r="J48" i="12"/>
  <c r="K48" i="12"/>
  <c r="L48" i="12"/>
  <c r="M48" i="12"/>
  <c r="N48" i="12"/>
  <c r="O48" i="12"/>
  <c r="P48" i="12"/>
  <c r="Q48" i="12"/>
  <c r="R48" i="12"/>
  <c r="S48" i="12"/>
  <c r="T48" i="12"/>
  <c r="U48" i="12"/>
  <c r="V48" i="12"/>
  <c r="W48" i="12"/>
  <c r="X48" i="12"/>
  <c r="Y48" i="12"/>
  <c r="D48" i="12"/>
  <c r="E47" i="12"/>
  <c r="F47" i="12"/>
  <c r="G47" i="12"/>
  <c r="H47" i="12"/>
  <c r="I47" i="12"/>
  <c r="J47" i="12"/>
  <c r="K47" i="12"/>
  <c r="L47" i="12"/>
  <c r="M47" i="12"/>
  <c r="N47" i="12"/>
  <c r="O47" i="12"/>
  <c r="P47" i="12"/>
  <c r="Q47" i="12"/>
  <c r="R47" i="12"/>
  <c r="S47" i="12"/>
  <c r="T47" i="12"/>
  <c r="U47" i="12"/>
  <c r="V47" i="12"/>
  <c r="W47" i="12"/>
  <c r="X47" i="12"/>
  <c r="Y47" i="12"/>
  <c r="D47" i="12"/>
  <c r="E24" i="12"/>
  <c r="F24" i="12"/>
  <c r="G24" i="12"/>
  <c r="H24" i="12"/>
  <c r="I24" i="12"/>
  <c r="J24" i="12"/>
  <c r="K24" i="12"/>
  <c r="L24" i="12"/>
  <c r="M24" i="12"/>
  <c r="N24" i="12"/>
  <c r="O24" i="12"/>
  <c r="P24" i="12"/>
  <c r="Q24" i="12"/>
  <c r="R24" i="12"/>
  <c r="S24" i="12"/>
  <c r="T24" i="12"/>
  <c r="U24" i="12"/>
  <c r="V24" i="12"/>
  <c r="W24" i="12"/>
  <c r="X24" i="12"/>
  <c r="Y24" i="12"/>
  <c r="D24" i="12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C27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C13" i="11"/>
  <c r="F12" i="7" l="1"/>
  <c r="I24" i="3"/>
  <c r="G24" i="3"/>
  <c r="X29" i="10" l="1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X14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B24" i="2" l="1"/>
  <c r="T28" i="7"/>
  <c r="S28" i="7"/>
  <c r="R28" i="7"/>
  <c r="Q28" i="7"/>
  <c r="P28" i="7"/>
  <c r="O28" i="7"/>
  <c r="N28" i="7"/>
  <c r="M28" i="7"/>
  <c r="L28" i="7"/>
  <c r="K28" i="7"/>
  <c r="J28" i="7"/>
  <c r="H28" i="7"/>
  <c r="G28" i="7"/>
  <c r="F28" i="7"/>
  <c r="E28" i="7"/>
  <c r="D28" i="7"/>
  <c r="C28" i="7"/>
  <c r="B28" i="7"/>
  <c r="T12" i="7"/>
  <c r="S12" i="7"/>
  <c r="R12" i="7"/>
  <c r="Q12" i="7"/>
  <c r="P12" i="7"/>
  <c r="O12" i="7"/>
  <c r="N12" i="7"/>
  <c r="M12" i="7"/>
  <c r="L12" i="7"/>
  <c r="K12" i="7"/>
  <c r="J12" i="7"/>
  <c r="I12" i="7"/>
  <c r="H12" i="7"/>
  <c r="G12" i="7"/>
  <c r="E12" i="7"/>
  <c r="D12" i="7"/>
  <c r="C12" i="7"/>
  <c r="B12" i="7"/>
  <c r="C12" i="6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T24" i="3"/>
  <c r="S24" i="3"/>
  <c r="R24" i="3"/>
  <c r="Q24" i="3"/>
  <c r="P24" i="3"/>
  <c r="O24" i="3"/>
  <c r="N24" i="3"/>
  <c r="M24" i="3"/>
  <c r="L24" i="3"/>
  <c r="K24" i="3"/>
  <c r="J24" i="3"/>
  <c r="H24" i="3"/>
  <c r="F24" i="3"/>
  <c r="E24" i="3"/>
  <c r="D24" i="3"/>
  <c r="C24" i="3"/>
  <c r="B24" i="3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</calcChain>
</file>

<file path=xl/sharedStrings.xml><?xml version="1.0" encoding="utf-8"?>
<sst xmlns="http://schemas.openxmlformats.org/spreadsheetml/2006/main" count="668" uniqueCount="150">
  <si>
    <t>LE (Tiempo)</t>
  </si>
  <si>
    <t>RA</t>
  </si>
  <si>
    <t>HDD</t>
  </si>
  <si>
    <t>HDC</t>
  </si>
  <si>
    <t xml:space="preserve">FEA </t>
  </si>
  <si>
    <t>TPA</t>
  </si>
  <si>
    <t>FEC</t>
  </si>
  <si>
    <t>TPC</t>
  </si>
  <si>
    <t>TPc</t>
  </si>
  <si>
    <t>HDF</t>
  </si>
  <si>
    <t>HDT</t>
  </si>
  <si>
    <t>GF</t>
  </si>
  <si>
    <t>GT</t>
  </si>
  <si>
    <t>RF</t>
  </si>
  <si>
    <t>RT</t>
  </si>
  <si>
    <t>OF</t>
  </si>
  <si>
    <t>OT</t>
  </si>
  <si>
    <t>SF</t>
  </si>
  <si>
    <t>ST</t>
  </si>
  <si>
    <t>2-1 H</t>
  </si>
  <si>
    <t>2-4 M</t>
  </si>
  <si>
    <t>4-5 M</t>
  </si>
  <si>
    <t>6-1 H</t>
  </si>
  <si>
    <t>6-3 H</t>
  </si>
  <si>
    <t>6-4 H</t>
  </si>
  <si>
    <t>9-1 M</t>
  </si>
  <si>
    <t>9-2 M</t>
  </si>
  <si>
    <t>9-4 M</t>
  </si>
  <si>
    <t>12-5 H</t>
  </si>
  <si>
    <t>13-3 M</t>
  </si>
  <si>
    <t>15-2 H</t>
  </si>
  <si>
    <t>15-5 H</t>
  </si>
  <si>
    <t>16-1 M</t>
  </si>
  <si>
    <t>19-2 M</t>
  </si>
  <si>
    <t>132.31</t>
  </si>
  <si>
    <t>ANIMAL</t>
  </si>
  <si>
    <t xml:space="preserve"> 1-2 H</t>
  </si>
  <si>
    <t xml:space="preserve"> 1-3 H</t>
  </si>
  <si>
    <t xml:space="preserve"> 3-0 M</t>
  </si>
  <si>
    <t xml:space="preserve"> 3-2 M</t>
  </si>
  <si>
    <t xml:space="preserve"> 5-2 H</t>
  </si>
  <si>
    <t xml:space="preserve"> 5-3 H</t>
  </si>
  <si>
    <t xml:space="preserve"> 7-1 M</t>
  </si>
  <si>
    <t>1-4 H</t>
  </si>
  <si>
    <t>4-1 M</t>
  </si>
  <si>
    <t>4-4 M</t>
  </si>
  <si>
    <t>6-0 H</t>
  </si>
  <si>
    <t>7-0 M</t>
  </si>
  <si>
    <t>7-2 M</t>
  </si>
  <si>
    <t>10-2 H</t>
  </si>
  <si>
    <t>10-4 H</t>
  </si>
  <si>
    <t>13-0 M</t>
  </si>
  <si>
    <t xml:space="preserve"> 13-2 M</t>
  </si>
  <si>
    <t xml:space="preserve"> 15-3 H</t>
  </si>
  <si>
    <t>32.9</t>
  </si>
  <si>
    <t xml:space="preserve"> 15-4 H</t>
  </si>
  <si>
    <t xml:space="preserve"> 18-1 M</t>
  </si>
  <si>
    <t xml:space="preserve"> 18-3 M</t>
  </si>
  <si>
    <t>11-0 H</t>
  </si>
  <si>
    <t>11-4 M</t>
  </si>
  <si>
    <t>12-0 M</t>
  </si>
  <si>
    <t>12-3 M</t>
  </si>
  <si>
    <t>14-2H</t>
  </si>
  <si>
    <t>15-1 H</t>
  </si>
  <si>
    <t>16-4 M</t>
  </si>
  <si>
    <t>16-5 M</t>
  </si>
  <si>
    <t>BALBC</t>
  </si>
  <si>
    <t>C57BL6</t>
  </si>
  <si>
    <t>HEMBRA</t>
  </si>
  <si>
    <t>MACHOS</t>
  </si>
  <si>
    <t>HEMBRAS</t>
  </si>
  <si>
    <t>C57BL-6</t>
  </si>
  <si>
    <t>E</t>
  </si>
  <si>
    <t>C</t>
  </si>
  <si>
    <t>B-E</t>
  </si>
  <si>
    <t>C57-E</t>
  </si>
  <si>
    <t>B-C</t>
  </si>
  <si>
    <t>C57-C</t>
  </si>
  <si>
    <t>ANIMAL E C57</t>
  </si>
  <si>
    <t>DTR</t>
  </si>
  <si>
    <t>VPT</t>
  </si>
  <si>
    <t>EZC</t>
  </si>
  <si>
    <t>DRC</t>
  </si>
  <si>
    <t>TZC</t>
  </si>
  <si>
    <t>LIC</t>
  </si>
  <si>
    <t>VPC</t>
  </si>
  <si>
    <t>MVZ</t>
  </si>
  <si>
    <t>VLC</t>
  </si>
  <si>
    <t>EZE</t>
  </si>
  <si>
    <t>TZE</t>
  </si>
  <si>
    <t>VPE</t>
  </si>
  <si>
    <t>MVE</t>
  </si>
  <si>
    <t>DPE</t>
  </si>
  <si>
    <t>EZP</t>
  </si>
  <si>
    <t>TZP</t>
  </si>
  <si>
    <t>DRP</t>
  </si>
  <si>
    <t>VPP</t>
  </si>
  <si>
    <t>MVP</t>
  </si>
  <si>
    <t>VLP</t>
  </si>
  <si>
    <t>DPP</t>
  </si>
  <si>
    <t>5-2 H</t>
  </si>
  <si>
    <t>14.00</t>
  </si>
  <si>
    <t>31.08</t>
  </si>
  <si>
    <t>3 H</t>
  </si>
  <si>
    <t>29.23</t>
  </si>
  <si>
    <t>5-3 H</t>
  </si>
  <si>
    <t>27.50</t>
  </si>
  <si>
    <t>7-1 M</t>
  </si>
  <si>
    <t>12.75</t>
  </si>
  <si>
    <t>9.00</t>
  </si>
  <si>
    <t xml:space="preserve"> 9-1 M</t>
  </si>
  <si>
    <t>23.49</t>
  </si>
  <si>
    <t>25.65</t>
  </si>
  <si>
    <t>24.24</t>
  </si>
  <si>
    <t>ANIMAL C C57</t>
  </si>
  <si>
    <t>15-3 H</t>
  </si>
  <si>
    <t>17.85</t>
  </si>
  <si>
    <t>15-4 H</t>
  </si>
  <si>
    <t>18.02</t>
  </si>
  <si>
    <t>18-1 M</t>
  </si>
  <si>
    <t>12.88</t>
  </si>
  <si>
    <t>8-3 M</t>
  </si>
  <si>
    <t>16.99</t>
  </si>
  <si>
    <t>36.62</t>
  </si>
  <si>
    <t>33.46</t>
  </si>
  <si>
    <t>10,7,1</t>
  </si>
  <si>
    <t>32.14</t>
  </si>
  <si>
    <t xml:space="preserve"> 15-1 H</t>
  </si>
  <si>
    <t>PROMEDIO</t>
  </si>
  <si>
    <t>Estimulados</t>
  </si>
  <si>
    <t>Control</t>
  </si>
  <si>
    <t>BALB/C-E</t>
  </si>
  <si>
    <t>BALB/C-C</t>
  </si>
  <si>
    <t>ANIMAL E BALC/C</t>
  </si>
  <si>
    <t xml:space="preserve">ANIMAL C </t>
  </si>
  <si>
    <t xml:space="preserve">1-2 H </t>
  </si>
  <si>
    <t xml:space="preserve">1-3 H </t>
  </si>
  <si>
    <t xml:space="preserve">3-0 M </t>
  </si>
  <si>
    <t xml:space="preserve">3-2 M </t>
  </si>
  <si>
    <t xml:space="preserve">10-3 H </t>
  </si>
  <si>
    <t xml:space="preserve">10-4 H </t>
  </si>
  <si>
    <t xml:space="preserve">13-0 M </t>
  </si>
  <si>
    <t xml:space="preserve">13-2 M </t>
  </si>
  <si>
    <t>11-4 H</t>
  </si>
  <si>
    <t>2-4 H</t>
  </si>
  <si>
    <t>2.5</t>
  </si>
  <si>
    <t>ESTIMULADOS</t>
  </si>
  <si>
    <t>CONTROLES</t>
  </si>
  <si>
    <t>SD</t>
  </si>
  <si>
    <t>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</si>
</sst>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"/>
  </numFmts>
  <fonts count="1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color theme="1"/>
      <name val="Segoe UI"/>
      <family val="2"/>
    </font>
    <font>
      <sz val="11"/>
      <name val="Calibri"/>
      <family val="2"/>
      <scheme val="minor"/>
    </font>
    <font>
      <b/>
      <sz val="10"/>
      <color theme="1"/>
      <name val="Segoe U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86">
    <xf numFmtId="0" fontId="0" fillId="0" borderId="0" xfId="0" applyFont="1" applyAlignment="1"/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/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/>
    <xf numFmtId="0" fontId="7" fillId="0" borderId="0" xfId="0" applyFont="1"/>
    <xf numFmtId="0" fontId="5" fillId="0" borderId="1" xfId="0" applyFont="1" applyBorder="1" applyAlignment="1">
      <alignment horizontal="center"/>
    </xf>
    <xf numFmtId="0" fontId="8" fillId="0" borderId="0" xfId="0" applyFont="1" applyAlignment="1"/>
    <xf numFmtId="0" fontId="7" fillId="0" borderId="0" xfId="0" applyFont="1" applyAlignment="1"/>
    <xf numFmtId="0" fontId="4" fillId="0" borderId="3" xfId="0" applyFont="1" applyBorder="1" applyAlignment="1">
      <alignment horizontal="center"/>
    </xf>
    <xf numFmtId="2" fontId="0" fillId="0" borderId="2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2" fontId="11" fillId="0" borderId="2" xfId="0" applyNumberFormat="1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2" fontId="8" fillId="0" borderId="2" xfId="0" applyNumberFormat="1" applyFon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2" xfId="0" applyFont="1" applyBorder="1" applyAlignment="1"/>
    <xf numFmtId="0" fontId="3" fillId="0" borderId="2" xfId="0" applyFont="1" applyBorder="1" applyAlignment="1"/>
    <xf numFmtId="0" fontId="3" fillId="0" borderId="2" xfId="0" applyFont="1" applyFill="1" applyBorder="1" applyAlignment="1"/>
    <xf numFmtId="164" fontId="0" fillId="0" borderId="2" xfId="0" applyNumberFormat="1" applyFont="1" applyBorder="1" applyAlignment="1">
      <alignment horizontal="center"/>
    </xf>
    <xf numFmtId="0" fontId="2" fillId="0" borderId="2" xfId="0" applyFont="1" applyBorder="1" applyAlignment="1"/>
    <xf numFmtId="0" fontId="2" fillId="0" borderId="2" xfId="0" applyFont="1" applyFill="1" applyBorder="1" applyAlignment="1"/>
    <xf numFmtId="0" fontId="7" fillId="0" borderId="6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0" fillId="0" borderId="2" xfId="0" applyBorder="1" applyAlignment="1">
      <alignment horizontal="center" wrapText="1"/>
    </xf>
    <xf numFmtId="0" fontId="6" fillId="0" borderId="2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5" fillId="2" borderId="1" xfId="0" applyFont="1" applyFill="1" applyBorder="1" applyAlignment="1"/>
    <xf numFmtId="0" fontId="6" fillId="0" borderId="3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0" fillId="0" borderId="10" xfId="0" applyBorder="1" applyAlignment="1">
      <alignment horizontal="center" wrapText="1"/>
    </xf>
    <xf numFmtId="0" fontId="6" fillId="0" borderId="4" xfId="0" applyFont="1" applyBorder="1" applyAlignment="1">
      <alignment horizontal="center"/>
    </xf>
    <xf numFmtId="2" fontId="9" fillId="0" borderId="2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2" fontId="7" fillId="0" borderId="2" xfId="0" applyNumberFormat="1" applyFont="1" applyBorder="1" applyAlignment="1">
      <alignment horizontal="center"/>
    </xf>
    <xf numFmtId="165" fontId="8" fillId="0" borderId="2" xfId="0" applyNumberFormat="1" applyFont="1" applyBorder="1" applyAlignment="1">
      <alignment horizontal="center"/>
    </xf>
    <xf numFmtId="0" fontId="8" fillId="0" borderId="2" xfId="0" applyFont="1" applyBorder="1" applyAlignment="1">
      <alignment horizontal="left"/>
    </xf>
    <xf numFmtId="165" fontId="8" fillId="0" borderId="11" xfId="0" applyNumberFormat="1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5" fillId="0" borderId="3" xfId="0" applyFont="1" applyBorder="1" applyAlignment="1"/>
    <xf numFmtId="0" fontId="7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8" fillId="0" borderId="2" xfId="0" applyFont="1" applyBorder="1" applyAlignment="1"/>
    <xf numFmtId="165" fontId="8" fillId="0" borderId="0" xfId="0" applyNumberFormat="1" applyFont="1" applyAlignment="1">
      <alignment horizontal="center"/>
    </xf>
    <xf numFmtId="2" fontId="7" fillId="0" borderId="1" xfId="0" applyNumberFormat="1" applyFont="1" applyBorder="1" applyAlignment="1">
      <alignment horizontal="center"/>
    </xf>
    <xf numFmtId="2" fontId="6" fillId="0" borderId="1" xfId="0" applyNumberFormat="1" applyFont="1" applyBorder="1" applyAlignment="1">
      <alignment horizontal="center"/>
    </xf>
    <xf numFmtId="2" fontId="8" fillId="0" borderId="0" xfId="0" applyNumberFormat="1" applyFont="1" applyAlignment="1">
      <alignment horizontal="center"/>
    </xf>
    <xf numFmtId="0" fontId="5" fillId="0" borderId="2" xfId="0" applyFont="1" applyBorder="1" applyAlignment="1">
      <alignment horizontal="center"/>
    </xf>
    <xf numFmtId="165" fontId="0" fillId="0" borderId="2" xfId="0" applyNumberFormat="1" applyFont="1" applyBorder="1" applyAlignment="1">
      <alignment horizontal="center"/>
    </xf>
    <xf numFmtId="164" fontId="11" fillId="0" borderId="2" xfId="0" applyNumberFormat="1" applyFon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1" fillId="0" borderId="5" xfId="0" applyFont="1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164" fontId="13" fillId="0" borderId="2" xfId="0" applyNumberFormat="1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0" fontId="1" fillId="0" borderId="0" xfId="0" applyFont="1" applyAlignment="1"/>
    <xf numFmtId="2" fontId="13" fillId="0" borderId="0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1" fillId="0" borderId="2" xfId="0" applyFont="1" applyBorder="1" applyAlignment="1"/>
    <xf numFmtId="0" fontId="1" fillId="0" borderId="0" xfId="0" applyFont="1" applyFill="1" applyBorder="1" applyAlignment="1">
      <alignment horizontal="center"/>
    </xf>
    <xf numFmtId="2" fontId="8" fillId="0" borderId="0" xfId="0" applyNumberFormat="1" applyFont="1" applyAlignment="1"/>
    <xf numFmtId="2" fontId="1" fillId="0" borderId="2" xfId="0" applyNumberFormat="1" applyFont="1" applyBorder="1" applyAlignment="1">
      <alignment horizontal="center"/>
    </xf>
    <xf numFmtId="2" fontId="8" fillId="0" borderId="0" xfId="0" applyNumberFormat="1" applyFont="1" applyBorder="1" applyAlignment="1">
      <alignment horizontal="center"/>
    </xf>
    <xf numFmtId="0" fontId="8" fillId="0" borderId="5" xfId="0" applyFont="1" applyFill="1" applyBorder="1" applyAlignment="1">
      <alignment horizontal="center"/>
    </xf>
    <xf numFmtId="0" fontId="8" fillId="0" borderId="0" xfId="0" applyFont="1" applyBorder="1" applyAlignment="1">
      <alignment horizontal="left"/>
    </xf>
    <xf numFmtId="2" fontId="9" fillId="0" borderId="0" xfId="0" applyNumberFormat="1" applyFont="1" applyBorder="1" applyAlignment="1">
      <alignment horizontal="center" vertical="center"/>
    </xf>
    <xf numFmtId="0" fontId="14" fillId="0" borderId="0" xfId="0" applyFont="1" applyFill="1" applyBorder="1" applyAlignment="1"/>
    <xf numFmtId="0" fontId="14" fillId="0" borderId="2" xfId="0" applyFont="1" applyFill="1" applyBorder="1" applyAlignment="1">
      <alignment horizontal="center"/>
    </xf>
    <xf numFmtId="0" fontId="5" fillId="0" borderId="0" xfId="0" applyFont="1" applyFill="1" applyBorder="1" applyAlignment="1"/>
    <xf numFmtId="0" fontId="14" fillId="0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Distancia</a:t>
            </a:r>
            <a:r>
              <a:rPr lang="es-CO" baseline="0"/>
              <a:t> total recorrida (metros) C57BL/6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'CAMPO ABIERTO C57'!$B$37</c:f>
              <c:strCache>
                <c:ptCount val="1"/>
                <c:pt idx="0">
                  <c:v>Estimulados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'CAMPO ABIERTO C57'!$C$36:$D$36</c:f>
              <c:strCache>
                <c:ptCount val="2"/>
                <c:pt idx="0">
                  <c:v>DTR</c:v>
                </c:pt>
                <c:pt idx="1">
                  <c:v>DRC</c:v>
                </c:pt>
              </c:strCache>
            </c:strRef>
          </c:cat>
          <c:val>
            <c:numRef>
              <c:f>'CAMPO ABIERTO C57'!$C$37:$D$37</c:f>
              <c:numCache>
                <c:formatCode>0.00</c:formatCode>
                <c:ptCount val="2"/>
                <c:pt idx="0">
                  <c:v>16.254999999999999</c:v>
                </c:pt>
                <c:pt idx="1">
                  <c:v>4.7554545454545458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15-4DCC-966B-7953DA348F1C}"/>
            </c:ext>
          </c:extLst>
        </c:ser>
        <c:ser>
          <c:idx val="1"/>
          <c:order val="1"/>
          <c:tx>
            <c:strRef>
              <c:f>'CAMPO ABIERTO C57'!$B$38</c:f>
              <c:strCache>
                <c:ptCount val="1"/>
                <c:pt idx="0">
                  <c:v>Control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'CAMPO ABIERTO C57'!$C$36:$D$36</c:f>
              <c:strCache>
                <c:ptCount val="2"/>
                <c:pt idx="0">
                  <c:v>DTR</c:v>
                </c:pt>
                <c:pt idx="1">
                  <c:v>DRC</c:v>
                </c:pt>
              </c:strCache>
            </c:strRef>
          </c:cat>
          <c:val>
            <c:numRef>
              <c:f>'CAMPO ABIERTO C57'!$C$38:$D$38</c:f>
              <c:numCache>
                <c:formatCode>0.000</c:formatCode>
                <c:ptCount val="2"/>
                <c:pt idx="0">
                  <c:v>16.835000000000001</c:v>
                </c:pt>
                <c:pt idx="1">
                  <c:v>4.3963636363636374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15-4DCC-966B-7953DA348F1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696147088"/>
        <c:axId val="696150416"/>
      </c:barChart>
      <c:catAx>
        <c:axId val="696147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96150416"/>
        <c:crosses val="autoZero"/>
        <c:auto val="1"/>
        <c:lblAlgn val="ctr"/>
        <c:lblOffset val="100"/>
        <c:noMultiLvlLbl val="0"/>
      </c:catAx>
      <c:valAx>
        <c:axId val="696150416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696147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plus</a:t>
            </a:r>
            <a:r>
              <a:rPr lang="es-CO" baseline="0"/>
              <a:t> maze total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'PM Estimulados total'!$B$32</c:f>
              <c:strCache>
                <c:ptCount val="1"/>
                <c:pt idx="0">
                  <c:v>Estimulados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'PM Estimulados total'!$C$31:$H$31</c:f>
              <c:strCache>
                <c:ptCount val="6"/>
                <c:pt idx="0">
                  <c:v>RA</c:v>
                </c:pt>
                <c:pt idx="1">
                  <c:v>FEA </c:v>
                </c:pt>
                <c:pt idx="2">
                  <c:v>TPA</c:v>
                </c:pt>
                <c:pt idx="3">
                  <c:v>FEC</c:v>
                </c:pt>
                <c:pt idx="4">
                  <c:v>TPC</c:v>
                </c:pt>
                <c:pt idx="5">
                  <c:v>TPc</c:v>
                </c:pt>
              </c:strCache>
            </c:strRef>
          </c:cat>
          <c:val>
            <c:numRef>
              <c:f>'PM Estimulados total'!$C$32:$H$32</c:f>
              <c:numCache>
                <c:formatCode>0.00</c:formatCode>
                <c:ptCount val="6"/>
                <c:pt idx="0">
                  <c:v>73.070909090909083</c:v>
                </c:pt>
                <c:pt idx="1">
                  <c:v>5.7272727272727275</c:v>
                </c:pt>
                <c:pt idx="2">
                  <c:v>96.49227272727272</c:v>
                </c:pt>
                <c:pt idx="3">
                  <c:v>9.8636363636363633</c:v>
                </c:pt>
                <c:pt idx="4" formatCode="General">
                  <c:v>151.10500000000002</c:v>
                </c:pt>
                <c:pt idx="5">
                  <c:v>43.699545454545458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23-4CD2-98AF-343646AE866D}"/>
            </c:ext>
          </c:extLst>
        </c:ser>
        <c:ser>
          <c:idx val="1"/>
          <c:order val="1"/>
          <c:tx>
            <c:strRef>
              <c:f>'PM Estimulados total'!$B$33</c:f>
              <c:strCache>
                <c:ptCount val="1"/>
                <c:pt idx="0">
                  <c:v>Control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'PM Estimulados total'!$C$31:$H$31</c:f>
              <c:strCache>
                <c:ptCount val="6"/>
                <c:pt idx="0">
                  <c:v>RA</c:v>
                </c:pt>
                <c:pt idx="1">
                  <c:v>FEA </c:v>
                </c:pt>
                <c:pt idx="2">
                  <c:v>TPA</c:v>
                </c:pt>
                <c:pt idx="3">
                  <c:v>FEC</c:v>
                </c:pt>
                <c:pt idx="4">
                  <c:v>TPC</c:v>
                </c:pt>
                <c:pt idx="5">
                  <c:v>TPc</c:v>
                </c:pt>
              </c:strCache>
            </c:strRef>
          </c:cat>
          <c:val>
            <c:numRef>
              <c:f>'PM Estimulados total'!$C$33:$H$33</c:f>
              <c:numCache>
                <c:formatCode>0.00</c:formatCode>
                <c:ptCount val="6"/>
                <c:pt idx="0">
                  <c:v>71.919999999999987</c:v>
                </c:pt>
                <c:pt idx="1">
                  <c:v>5.8181818181818183</c:v>
                </c:pt>
                <c:pt idx="2">
                  <c:v>88.403636363636352</c:v>
                </c:pt>
                <c:pt idx="3">
                  <c:v>7.7727272727272725</c:v>
                </c:pt>
                <c:pt idx="4" formatCode="General">
                  <c:v>141.17499999999998</c:v>
                </c:pt>
                <c:pt idx="5">
                  <c:v>76.600952380952393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23-4CD2-98AF-343646AE866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690356320"/>
        <c:axId val="690356736"/>
      </c:barChart>
      <c:catAx>
        <c:axId val="690356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90356736"/>
        <c:crosses val="autoZero"/>
        <c:auto val="1"/>
        <c:lblAlgn val="ctr"/>
        <c:lblOffset val="100"/>
        <c:noMultiLvlLbl val="0"/>
      </c:catAx>
      <c:valAx>
        <c:axId val="690356736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690356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'PM Estimulado cepa'!$B$39</c:f>
              <c:strCache>
                <c:ptCount val="1"/>
                <c:pt idx="0">
                  <c:v>BALB/C-E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'PM Estimulado cepa'!$C$38:$H$38</c:f>
              <c:strCache>
                <c:ptCount val="6"/>
                <c:pt idx="0">
                  <c:v>RA</c:v>
                </c:pt>
                <c:pt idx="1">
                  <c:v>FEA </c:v>
                </c:pt>
                <c:pt idx="2">
                  <c:v>TPA</c:v>
                </c:pt>
                <c:pt idx="3">
                  <c:v>FEC</c:v>
                </c:pt>
                <c:pt idx="4">
                  <c:v>TPC</c:v>
                </c:pt>
                <c:pt idx="5">
                  <c:v>TPc</c:v>
                </c:pt>
              </c:strCache>
            </c:strRef>
          </c:cat>
          <c:val>
            <c:numRef>
              <c:f>'PM Estimulado cepa'!$C$39:$H$39</c:f>
              <c:numCache>
                <c:formatCode>General</c:formatCode>
                <c:ptCount val="6"/>
                <c:pt idx="0">
                  <c:v>87.543999999999997</c:v>
                </c:pt>
                <c:pt idx="1">
                  <c:v>7.9</c:v>
                </c:pt>
                <c:pt idx="2">
                  <c:v>151.70300000000003</c:v>
                </c:pt>
                <c:pt idx="3">
                  <c:v>6.8</c:v>
                </c:pt>
                <c:pt idx="4">
                  <c:v>75.14500000000001</c:v>
                </c:pt>
                <c:pt idx="5">
                  <c:v>62.379000000000005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47-4324-A4AD-E83BD4483FAF}"/>
            </c:ext>
          </c:extLst>
        </c:ser>
        <c:ser>
          <c:idx val="1"/>
          <c:order val="1"/>
          <c:tx>
            <c:strRef>
              <c:f>'PM Estimulado cepa'!$B$40</c:f>
              <c:strCache>
                <c:ptCount val="1"/>
                <c:pt idx="0">
                  <c:v>C57-E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'PM Estimulado cepa'!$C$38:$H$38</c:f>
              <c:strCache>
                <c:ptCount val="6"/>
                <c:pt idx="0">
                  <c:v>RA</c:v>
                </c:pt>
                <c:pt idx="1">
                  <c:v>FEA </c:v>
                </c:pt>
                <c:pt idx="2">
                  <c:v>TPA</c:v>
                </c:pt>
                <c:pt idx="3">
                  <c:v>FEC</c:v>
                </c:pt>
                <c:pt idx="4">
                  <c:v>TPC</c:v>
                </c:pt>
                <c:pt idx="5">
                  <c:v>TPc</c:v>
                </c:pt>
              </c:strCache>
            </c:strRef>
          </c:cat>
          <c:val>
            <c:numRef>
              <c:f>'PM Estimulado cepa'!$C$40:$H$40</c:f>
              <c:numCache>
                <c:formatCode>0.00</c:formatCode>
                <c:ptCount val="6"/>
                <c:pt idx="0">
                  <c:v>61.009999999999991</c:v>
                </c:pt>
                <c:pt idx="1">
                  <c:v>3.9166666666666665</c:v>
                </c:pt>
                <c:pt idx="2">
                  <c:v>50.483333333333341</c:v>
                </c:pt>
                <c:pt idx="3">
                  <c:v>12.416666666666666</c:v>
                </c:pt>
                <c:pt idx="4">
                  <c:v>197.4</c:v>
                </c:pt>
                <c:pt idx="5">
                  <c:v>28.133333333333336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47-4324-A4AD-E83BD4483F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0351744"/>
        <c:axId val="690355488"/>
      </c:barChart>
      <c:catAx>
        <c:axId val="690351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90355488"/>
        <c:crosses val="autoZero"/>
        <c:auto val="1"/>
        <c:lblAlgn val="ctr"/>
        <c:lblOffset val="100"/>
        <c:noMultiLvlLbl val="0"/>
      </c:catAx>
      <c:valAx>
        <c:axId val="690355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90351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'PM Estimulado cepa'!$B$43</c:f>
              <c:strCache>
                <c:ptCount val="1"/>
                <c:pt idx="0">
                  <c:v>BALB/C-C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'PM Estimulado cepa'!$C$42:$H$42</c:f>
              <c:strCache>
                <c:ptCount val="6"/>
                <c:pt idx="0">
                  <c:v>RA</c:v>
                </c:pt>
                <c:pt idx="1">
                  <c:v>FEA </c:v>
                </c:pt>
                <c:pt idx="2">
                  <c:v>TPA</c:v>
                </c:pt>
                <c:pt idx="3">
                  <c:v>FEC</c:v>
                </c:pt>
                <c:pt idx="4">
                  <c:v>TPC</c:v>
                </c:pt>
                <c:pt idx="5">
                  <c:v>TPc</c:v>
                </c:pt>
              </c:strCache>
            </c:strRef>
          </c:cat>
          <c:val>
            <c:numRef>
              <c:f>'PM Estimulado cepa'!$C$43:$H$43</c:f>
              <c:numCache>
                <c:formatCode>0.0</c:formatCode>
                <c:ptCount val="6"/>
                <c:pt idx="0">
                  <c:v>105.66600000000001</c:v>
                </c:pt>
                <c:pt idx="1">
                  <c:v>8.9</c:v>
                </c:pt>
                <c:pt idx="2">
                  <c:v>126.86199999999999</c:v>
                </c:pt>
                <c:pt idx="3">
                  <c:v>6.8</c:v>
                </c:pt>
                <c:pt idx="4">
                  <c:v>74.424999999999997</c:v>
                </c:pt>
                <c:pt idx="5">
                  <c:v>88.716000000000008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DA-423E-A94B-B6EF358E5596}"/>
            </c:ext>
          </c:extLst>
        </c:ser>
        <c:ser>
          <c:idx val="1"/>
          <c:order val="1"/>
          <c:tx>
            <c:strRef>
              <c:f>'PM Estimulado cepa'!$B$44</c:f>
              <c:strCache>
                <c:ptCount val="1"/>
                <c:pt idx="0">
                  <c:v>C57-C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'PM Estimulado cepa'!$C$42:$H$42</c:f>
              <c:strCache>
                <c:ptCount val="6"/>
                <c:pt idx="0">
                  <c:v>RA</c:v>
                </c:pt>
                <c:pt idx="1">
                  <c:v>FEA </c:v>
                </c:pt>
                <c:pt idx="2">
                  <c:v>TPA</c:v>
                </c:pt>
                <c:pt idx="3">
                  <c:v>FEC</c:v>
                </c:pt>
                <c:pt idx="4">
                  <c:v>TPC</c:v>
                </c:pt>
                <c:pt idx="5">
                  <c:v>TPc</c:v>
                </c:pt>
              </c:strCache>
            </c:strRef>
          </c:cat>
          <c:val>
            <c:numRef>
              <c:f>'PM Estimulado cepa'!$C$44:$H$44</c:f>
              <c:numCache>
                <c:formatCode>0.00</c:formatCode>
                <c:ptCount val="6"/>
                <c:pt idx="0">
                  <c:v>43.798333333333339</c:v>
                </c:pt>
                <c:pt idx="1">
                  <c:v>3.1666666666666665</c:v>
                </c:pt>
                <c:pt idx="2">
                  <c:v>56.354999999999997</c:v>
                </c:pt>
                <c:pt idx="3">
                  <c:v>8.5833333333333339</c:v>
                </c:pt>
                <c:pt idx="4">
                  <c:v>196.79999999999998</c:v>
                </c:pt>
                <c:pt idx="5">
                  <c:v>65.587272727272733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DA-423E-A94B-B6EF358E55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8689888"/>
        <c:axId val="688690720"/>
      </c:barChart>
      <c:catAx>
        <c:axId val="68868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88690720"/>
        <c:crosses val="autoZero"/>
        <c:auto val="1"/>
        <c:lblAlgn val="ctr"/>
        <c:lblOffset val="100"/>
        <c:noMultiLvlLbl val="0"/>
      </c:catAx>
      <c:valAx>
        <c:axId val="688690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8868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'PM Estimulado cepa'!$B$47</c:f>
              <c:strCache>
                <c:ptCount val="1"/>
                <c:pt idx="0">
                  <c:v>BALB/C-E</c:v>
                </c:pt>
              </c:strCache>
            </c:strRef>
          </c:tx>
          <c:spPr>
            <a:solidFill>
              <a:schemeClr val="accent4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'PM Estimulado cepa'!$C$46:$H$46</c:f>
              <c:strCache>
                <c:ptCount val="6"/>
                <c:pt idx="0">
                  <c:v>RA</c:v>
                </c:pt>
                <c:pt idx="1">
                  <c:v>FEA </c:v>
                </c:pt>
                <c:pt idx="2">
                  <c:v>TPA</c:v>
                </c:pt>
                <c:pt idx="3">
                  <c:v>FEC</c:v>
                </c:pt>
                <c:pt idx="4">
                  <c:v>TPC</c:v>
                </c:pt>
                <c:pt idx="5">
                  <c:v>TPc</c:v>
                </c:pt>
              </c:strCache>
            </c:strRef>
          </c:cat>
          <c:val>
            <c:numRef>
              <c:f>'PM Estimulado cepa'!$C$47:$H$47</c:f>
              <c:numCache>
                <c:formatCode>General</c:formatCode>
                <c:ptCount val="6"/>
                <c:pt idx="0">
                  <c:v>87.543999999999997</c:v>
                </c:pt>
                <c:pt idx="1">
                  <c:v>7.9</c:v>
                </c:pt>
                <c:pt idx="2">
                  <c:v>151.70300000000003</c:v>
                </c:pt>
                <c:pt idx="3">
                  <c:v>6.8</c:v>
                </c:pt>
                <c:pt idx="4">
                  <c:v>75.14500000000001</c:v>
                </c:pt>
                <c:pt idx="5">
                  <c:v>62.379000000000005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39-4D38-A18D-094DC00288B6}"/>
            </c:ext>
          </c:extLst>
        </c:ser>
        <c:ser>
          <c:idx val="1"/>
          <c:order val="1"/>
          <c:tx>
            <c:strRef>
              <c:f>'PM Estimulado cepa'!$B$48</c:f>
              <c:strCache>
                <c:ptCount val="1"/>
                <c:pt idx="0">
                  <c:v>BALB/C-C</c:v>
                </c:pt>
              </c:strCache>
            </c:strRef>
          </c:tx>
          <c:spPr>
            <a:solidFill>
              <a:schemeClr val="accent4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'PM Estimulado cepa'!$C$46:$H$46</c:f>
              <c:strCache>
                <c:ptCount val="6"/>
                <c:pt idx="0">
                  <c:v>RA</c:v>
                </c:pt>
                <c:pt idx="1">
                  <c:v>FEA </c:v>
                </c:pt>
                <c:pt idx="2">
                  <c:v>TPA</c:v>
                </c:pt>
                <c:pt idx="3">
                  <c:v>FEC</c:v>
                </c:pt>
                <c:pt idx="4">
                  <c:v>TPC</c:v>
                </c:pt>
                <c:pt idx="5">
                  <c:v>TPc</c:v>
                </c:pt>
              </c:strCache>
            </c:strRef>
          </c:cat>
          <c:val>
            <c:numRef>
              <c:f>'PM Estimulado cepa'!$C$48:$H$48</c:f>
              <c:numCache>
                <c:formatCode>0.0</c:formatCode>
                <c:ptCount val="6"/>
                <c:pt idx="0">
                  <c:v>105.66600000000001</c:v>
                </c:pt>
                <c:pt idx="1">
                  <c:v>8.9</c:v>
                </c:pt>
                <c:pt idx="2">
                  <c:v>126.86199999999999</c:v>
                </c:pt>
                <c:pt idx="3">
                  <c:v>6.8</c:v>
                </c:pt>
                <c:pt idx="4">
                  <c:v>74.424999999999997</c:v>
                </c:pt>
                <c:pt idx="5">
                  <c:v>88.716000000000008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39-4D38-A18D-094DC00288B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692402512"/>
        <c:axId val="692400432"/>
      </c:barChart>
      <c:catAx>
        <c:axId val="692402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92400432"/>
        <c:crosses val="autoZero"/>
        <c:auto val="1"/>
        <c:lblAlgn val="ctr"/>
        <c:lblOffset val="100"/>
        <c:noMultiLvlLbl val="0"/>
      </c:catAx>
      <c:valAx>
        <c:axId val="69240043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92402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'PM Estimulado cepa'!$B$51</c:f>
              <c:strCache>
                <c:ptCount val="1"/>
                <c:pt idx="0">
                  <c:v>C57-E</c:v>
                </c:pt>
              </c:strCache>
            </c:strRef>
          </c:tx>
          <c:spPr>
            <a:solidFill>
              <a:schemeClr val="accent3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'PM Estimulado cepa'!$C$50:$H$50</c:f>
              <c:strCache>
                <c:ptCount val="6"/>
                <c:pt idx="0">
                  <c:v>RA</c:v>
                </c:pt>
                <c:pt idx="1">
                  <c:v>FEA </c:v>
                </c:pt>
                <c:pt idx="2">
                  <c:v>TPA</c:v>
                </c:pt>
                <c:pt idx="3">
                  <c:v>FEC</c:v>
                </c:pt>
                <c:pt idx="4">
                  <c:v>TPC</c:v>
                </c:pt>
                <c:pt idx="5">
                  <c:v>TPc</c:v>
                </c:pt>
              </c:strCache>
            </c:strRef>
          </c:cat>
          <c:val>
            <c:numRef>
              <c:f>'PM Estimulado cepa'!$C$51:$H$51</c:f>
              <c:numCache>
                <c:formatCode>0.00</c:formatCode>
                <c:ptCount val="6"/>
                <c:pt idx="0">
                  <c:v>61.009999999999991</c:v>
                </c:pt>
                <c:pt idx="1">
                  <c:v>3.9166666666666665</c:v>
                </c:pt>
                <c:pt idx="2">
                  <c:v>50.483333333333341</c:v>
                </c:pt>
                <c:pt idx="3">
                  <c:v>12.416666666666666</c:v>
                </c:pt>
                <c:pt idx="4">
                  <c:v>197.4</c:v>
                </c:pt>
                <c:pt idx="5">
                  <c:v>28.133333333333336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84-46CF-80D0-99FEF337E6AB}"/>
            </c:ext>
          </c:extLst>
        </c:ser>
        <c:ser>
          <c:idx val="1"/>
          <c:order val="1"/>
          <c:tx>
            <c:strRef>
              <c:f>'PM Estimulado cepa'!$B$52</c:f>
              <c:strCache>
                <c:ptCount val="1"/>
                <c:pt idx="0">
                  <c:v>C57-C</c:v>
                </c:pt>
              </c:strCache>
            </c:strRef>
          </c:tx>
          <c:spPr>
            <a:solidFill>
              <a:schemeClr val="accent3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'PM Estimulado cepa'!$C$50:$H$50</c:f>
              <c:strCache>
                <c:ptCount val="6"/>
                <c:pt idx="0">
                  <c:v>RA</c:v>
                </c:pt>
                <c:pt idx="1">
                  <c:v>FEA </c:v>
                </c:pt>
                <c:pt idx="2">
                  <c:v>TPA</c:v>
                </c:pt>
                <c:pt idx="3">
                  <c:v>FEC</c:v>
                </c:pt>
                <c:pt idx="4">
                  <c:v>TPC</c:v>
                </c:pt>
                <c:pt idx="5">
                  <c:v>TPc</c:v>
                </c:pt>
              </c:strCache>
            </c:strRef>
          </c:cat>
          <c:val>
            <c:numRef>
              <c:f>'PM Estimulado cepa'!$C$52:$H$52</c:f>
              <c:numCache>
                <c:formatCode>0.00</c:formatCode>
                <c:ptCount val="6"/>
                <c:pt idx="0">
                  <c:v>43.798333333333339</c:v>
                </c:pt>
                <c:pt idx="1">
                  <c:v>3.1666666666666665</c:v>
                </c:pt>
                <c:pt idx="2">
                  <c:v>56.354999999999997</c:v>
                </c:pt>
                <c:pt idx="3">
                  <c:v>8.5833333333333339</c:v>
                </c:pt>
                <c:pt idx="4">
                  <c:v>196.79999999999998</c:v>
                </c:pt>
                <c:pt idx="5">
                  <c:v>65.587272727272733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84-46CF-80D0-99FEF337E6A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687639792"/>
        <c:axId val="687641456"/>
      </c:barChart>
      <c:catAx>
        <c:axId val="687639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87641456"/>
        <c:crosses val="autoZero"/>
        <c:auto val="1"/>
        <c:lblAlgn val="ctr"/>
        <c:lblOffset val="100"/>
        <c:noMultiLvlLbl val="0"/>
      </c:catAx>
      <c:valAx>
        <c:axId val="687641456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687639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6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219075</xdr:colOff>
      <xdr:row>36</xdr:row>
      <xdr:rowOff>0</xdr:rowOff>
    </xdr:from>
    <xdr:to>
      <xdr:col>20</xdr:col>
      <xdr:colOff>219075</xdr:colOff>
      <xdr:row>50</xdr:row>
      <xdr:rowOff>76200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542925</xdr:colOff>
      <xdr:row>29</xdr:row>
      <xdr:rowOff>95250</xdr:rowOff>
    </xdr:from>
    <xdr:to>
      <xdr:col>13</xdr:col>
      <xdr:colOff>304800</xdr:colOff>
      <xdr:row>43</xdr:row>
      <xdr:rowOff>171450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276225</xdr:colOff>
      <xdr:row>54</xdr:row>
      <xdr:rowOff>76200</xdr:rowOff>
    </xdr:from>
    <xdr:to>
      <xdr:col>10</xdr:col>
      <xdr:colOff>619125</xdr:colOff>
      <xdr:row>68</xdr:row>
      <xdr:rowOff>152400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847725</xdr:colOff>
      <xdr:row>55</xdr:row>
      <xdr:rowOff>57150</xdr:rowOff>
    </xdr:from>
    <xdr:to>
      <xdr:col>5</xdr:col>
      <xdr:colOff>476250</xdr:colOff>
      <xdr:row>69</xdr:row>
      <xdr:rowOff>133350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152400</xdr:colOff>
      <xdr:row>44</xdr:row>
      <xdr:rowOff>161925</xdr:rowOff>
    </xdr:from>
    <xdr:to>
      <xdr:col>8</xdr:col>
      <xdr:colOff>685800</xdr:colOff>
      <xdr:row>59</xdr:row>
      <xdr:rowOff>47625</xdr:rowOff>
    </xdr:to>
    <xdr:graphicFrame macro="">
      <xdr:nvGraphicFramePr>
        <xdr:cNvPr id="7" name="Gráfico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495300</xdr:colOff>
      <xdr:row>44</xdr:row>
      <xdr:rowOff>171450</xdr:rowOff>
    </xdr:from>
    <xdr:to>
      <xdr:col>12</xdr:col>
      <xdr:colOff>838200</xdr:colOff>
      <xdr:row>59</xdr:row>
      <xdr:rowOff>57150</xdr:rowOff>
    </xdr:to>
    <xdr:graphicFrame macro="">
      <xdr:nvGraphicFramePr>
        <xdr:cNvPr id="8" name="Gráfico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4"/>
  <sheetViews>
    <sheetView topLeftCell="A35" workbookViewId="0">
      <selection activeCell="C50" sqref="C50:X50"/>
    </sheetView>
  </sheetViews>
  <sheetFormatPr baseColWidth="10" defaultRowHeight="15" x14ac:dyDescent="0.25"/>
  <cols>
    <col min="3" max="3" width="14.5703125" customWidth="1"/>
  </cols>
  <sheetData>
    <row r="1" spans="1:25" x14ac:dyDescent="0.25">
      <c r="A1" s="71" t="s">
        <v>146</v>
      </c>
    </row>
    <row r="2" spans="1:25" x14ac:dyDescent="0.25">
      <c r="C2" s="17" t="s">
        <v>78</v>
      </c>
      <c r="D2" s="17" t="s">
        <v>79</v>
      </c>
      <c r="E2" s="17" t="s">
        <v>80</v>
      </c>
      <c r="F2" s="18" t="s">
        <v>81</v>
      </c>
      <c r="G2" s="18" t="s">
        <v>82</v>
      </c>
      <c r="H2" s="18" t="s">
        <v>83</v>
      </c>
      <c r="I2" s="17" t="s">
        <v>84</v>
      </c>
      <c r="J2" s="17" t="s">
        <v>85</v>
      </c>
      <c r="K2" s="17" t="s">
        <v>86</v>
      </c>
      <c r="L2" s="17" t="s">
        <v>87</v>
      </c>
      <c r="M2" s="17" t="s">
        <v>85</v>
      </c>
      <c r="N2" s="17" t="s">
        <v>88</v>
      </c>
      <c r="O2" s="17" t="s">
        <v>89</v>
      </c>
      <c r="P2" s="17" t="s">
        <v>90</v>
      </c>
      <c r="Q2" s="17" t="s">
        <v>91</v>
      </c>
      <c r="R2" s="17" t="s">
        <v>92</v>
      </c>
      <c r="S2" s="17" t="s">
        <v>93</v>
      </c>
      <c r="T2" s="17" t="s">
        <v>94</v>
      </c>
      <c r="U2" s="17" t="s">
        <v>95</v>
      </c>
      <c r="V2" s="17" t="s">
        <v>96</v>
      </c>
      <c r="W2" s="17" t="s">
        <v>97</v>
      </c>
      <c r="X2" s="17" t="s">
        <v>98</v>
      </c>
      <c r="Y2" s="17" t="s">
        <v>99</v>
      </c>
    </row>
    <row r="3" spans="1:25" x14ac:dyDescent="0.25">
      <c r="B3">
        <v>1</v>
      </c>
      <c r="C3" s="19" t="s">
        <v>100</v>
      </c>
      <c r="D3" s="20">
        <v>18.63</v>
      </c>
      <c r="E3" s="19">
        <v>3.1E-2</v>
      </c>
      <c r="F3" s="21" t="s">
        <v>101</v>
      </c>
      <c r="G3" s="19">
        <v>2.76</v>
      </c>
      <c r="H3" s="19">
        <v>21.5</v>
      </c>
      <c r="I3" s="19">
        <v>38</v>
      </c>
      <c r="J3" s="19">
        <v>0.129</v>
      </c>
      <c r="K3" s="19">
        <v>0.14499999999999999</v>
      </c>
      <c r="L3" s="19">
        <v>3</v>
      </c>
      <c r="M3" s="19">
        <v>1.5</v>
      </c>
      <c r="N3" s="19">
        <v>80</v>
      </c>
      <c r="O3" s="19">
        <v>250</v>
      </c>
      <c r="P3" s="19">
        <v>2.4E-2</v>
      </c>
      <c r="Q3" s="19">
        <v>0.17399999999999999</v>
      </c>
      <c r="R3" s="19">
        <v>3.1</v>
      </c>
      <c r="S3" s="19">
        <v>21</v>
      </c>
      <c r="T3" s="19">
        <v>70.5</v>
      </c>
      <c r="U3" s="19">
        <v>2.2999999999999998</v>
      </c>
      <c r="V3" s="19">
        <v>3.3000000000000002E-2</v>
      </c>
      <c r="W3" s="19">
        <v>0.153</v>
      </c>
      <c r="X3" s="19">
        <v>38</v>
      </c>
      <c r="Y3" s="19">
        <v>3.4</v>
      </c>
    </row>
    <row r="4" spans="1:25" x14ac:dyDescent="0.25">
      <c r="B4">
        <v>2</v>
      </c>
      <c r="C4" s="19" t="s">
        <v>22</v>
      </c>
      <c r="D4" s="21" t="s">
        <v>102</v>
      </c>
      <c r="E4" s="19">
        <v>5.1999999999999998E-2</v>
      </c>
      <c r="F4" s="21">
        <v>40</v>
      </c>
      <c r="G4" s="19">
        <v>6.09</v>
      </c>
      <c r="H4" s="19">
        <v>125.2</v>
      </c>
      <c r="I4" s="19">
        <v>4.9000000000000004</v>
      </c>
      <c r="J4" s="19">
        <v>4.9000000000000002E-2</v>
      </c>
      <c r="K4" s="19">
        <v>0.18</v>
      </c>
      <c r="L4" s="19">
        <v>36.799999999999997</v>
      </c>
      <c r="M4" s="19">
        <v>3.1</v>
      </c>
      <c r="N4" s="19">
        <v>75</v>
      </c>
      <c r="O4" s="19">
        <v>120</v>
      </c>
      <c r="P4" s="19">
        <v>0.05</v>
      </c>
      <c r="Q4" s="19">
        <v>0.159</v>
      </c>
      <c r="R4" s="19">
        <v>1.6</v>
      </c>
      <c r="S4" s="19">
        <v>43</v>
      </c>
      <c r="T4" s="19">
        <v>86.8</v>
      </c>
      <c r="U4" s="19">
        <v>5.94</v>
      </c>
      <c r="V4" s="19">
        <v>6.8000000000000005E-2</v>
      </c>
      <c r="W4" s="19">
        <v>0.19</v>
      </c>
      <c r="X4" s="19">
        <v>6.5</v>
      </c>
      <c r="Y4" s="19">
        <v>2</v>
      </c>
    </row>
    <row r="5" spans="1:25" x14ac:dyDescent="0.25">
      <c r="B5">
        <v>3</v>
      </c>
      <c r="C5" s="19" t="s">
        <v>103</v>
      </c>
      <c r="D5" s="21" t="s">
        <v>104</v>
      </c>
      <c r="E5" s="19">
        <v>4.9000000000000002E-2</v>
      </c>
      <c r="F5" s="21">
        <v>40</v>
      </c>
      <c r="G5" s="19">
        <v>5.85</v>
      </c>
      <c r="H5" s="19">
        <v>52.5</v>
      </c>
      <c r="I5" s="19">
        <v>29.3</v>
      </c>
      <c r="J5" s="19">
        <v>0.112</v>
      </c>
      <c r="K5" s="19">
        <v>0.216</v>
      </c>
      <c r="L5" s="19">
        <v>5.0999999999999996</v>
      </c>
      <c r="M5" s="19">
        <v>1.3</v>
      </c>
      <c r="N5" s="19">
        <v>57</v>
      </c>
      <c r="O5" s="19">
        <v>118.3</v>
      </c>
      <c r="P5" s="19">
        <v>3.7999999999999999E-2</v>
      </c>
      <c r="Q5" s="19">
        <v>0.21299999999999999</v>
      </c>
      <c r="R5" s="19">
        <v>2.1</v>
      </c>
      <c r="S5" s="19">
        <v>47</v>
      </c>
      <c r="T5" s="19">
        <v>193.6</v>
      </c>
      <c r="U5" s="19">
        <v>5.13</v>
      </c>
      <c r="V5" s="19">
        <v>2.7E-2</v>
      </c>
      <c r="W5" s="19">
        <v>0.219</v>
      </c>
      <c r="X5" s="19">
        <v>106.7</v>
      </c>
      <c r="Y5" s="19">
        <v>4.0999999999999996</v>
      </c>
    </row>
    <row r="6" spans="1:25" x14ac:dyDescent="0.25">
      <c r="B6">
        <v>4</v>
      </c>
      <c r="C6" s="19" t="s">
        <v>105</v>
      </c>
      <c r="D6" s="21" t="s">
        <v>106</v>
      </c>
      <c r="E6" s="19">
        <v>4.7E-2</v>
      </c>
      <c r="F6" s="21">
        <v>30</v>
      </c>
      <c r="G6" s="19">
        <v>4.09</v>
      </c>
      <c r="H6" s="19">
        <v>62.2</v>
      </c>
      <c r="I6" s="19">
        <v>7.3</v>
      </c>
      <c r="J6" s="19">
        <v>6.6000000000000003E-2</v>
      </c>
      <c r="K6" s="19">
        <v>0.16200000000000001</v>
      </c>
      <c r="L6" s="19">
        <v>14.2</v>
      </c>
      <c r="M6" s="19">
        <v>2.1</v>
      </c>
      <c r="N6" s="19">
        <v>99</v>
      </c>
      <c r="O6" s="19">
        <v>244.2</v>
      </c>
      <c r="P6" s="19">
        <v>0.03</v>
      </c>
      <c r="Q6" s="19">
        <v>0.17799999999999999</v>
      </c>
      <c r="R6" s="19">
        <v>2.5</v>
      </c>
      <c r="S6" s="19">
        <v>34</v>
      </c>
      <c r="T6" s="19">
        <v>29.2</v>
      </c>
      <c r="U6" s="19">
        <v>1.21</v>
      </c>
      <c r="V6" s="19">
        <v>4.2000000000000003E-2</v>
      </c>
      <c r="W6" s="19">
        <v>0.16300000000000001</v>
      </c>
      <c r="X6" s="19">
        <v>3.7</v>
      </c>
      <c r="Y6" s="19">
        <v>0.9</v>
      </c>
    </row>
    <row r="7" spans="1:25" x14ac:dyDescent="0.25">
      <c r="B7">
        <v>5</v>
      </c>
      <c r="C7" s="19" t="s">
        <v>107</v>
      </c>
      <c r="D7" s="21" t="s">
        <v>108</v>
      </c>
      <c r="E7" s="19">
        <v>2.1000000000000001E-2</v>
      </c>
      <c r="F7" s="21" t="s">
        <v>109</v>
      </c>
      <c r="G7" s="19">
        <v>1.6</v>
      </c>
      <c r="H7" s="19">
        <v>14.2</v>
      </c>
      <c r="I7" s="19">
        <v>6.7</v>
      </c>
      <c r="J7" s="19">
        <v>0.113</v>
      </c>
      <c r="K7" s="19">
        <v>0.14399999999999999</v>
      </c>
      <c r="L7" s="19">
        <v>3.5</v>
      </c>
      <c r="M7" s="19">
        <v>1.6</v>
      </c>
      <c r="N7" s="19">
        <v>80</v>
      </c>
      <c r="O7" s="19">
        <v>255.3</v>
      </c>
      <c r="P7" s="19">
        <v>1.6E-2</v>
      </c>
      <c r="Q7" s="19">
        <v>0.16600000000000001</v>
      </c>
      <c r="R7" s="19">
        <v>3.2</v>
      </c>
      <c r="S7" s="19">
        <v>17</v>
      </c>
      <c r="T7" s="19">
        <v>17</v>
      </c>
      <c r="U7" s="19">
        <v>1.23</v>
      </c>
      <c r="V7" s="19">
        <v>7.2999999999999995E-2</v>
      </c>
      <c r="W7" s="19">
        <v>0.11899999999999999</v>
      </c>
      <c r="X7" s="19">
        <v>3.4</v>
      </c>
      <c r="Y7" s="19">
        <v>1</v>
      </c>
    </row>
    <row r="8" spans="1:25" x14ac:dyDescent="0.25">
      <c r="B8">
        <v>6</v>
      </c>
      <c r="C8" s="19" t="s">
        <v>110</v>
      </c>
      <c r="D8" s="21" t="s">
        <v>111</v>
      </c>
      <c r="E8" s="19">
        <v>3.9E-2</v>
      </c>
      <c r="F8" s="19">
        <v>35</v>
      </c>
      <c r="G8" s="19">
        <v>4.0599999999999996</v>
      </c>
      <c r="H8" s="19">
        <v>78.599999999999994</v>
      </c>
      <c r="I8" s="19">
        <v>5.7</v>
      </c>
      <c r="J8" s="19">
        <v>5.1999999999999998E-2</v>
      </c>
      <c r="K8" s="19">
        <v>0.15</v>
      </c>
      <c r="L8" s="19">
        <v>15.3</v>
      </c>
      <c r="M8" s="19">
        <v>2.2000000000000002</v>
      </c>
      <c r="N8" s="19">
        <v>55</v>
      </c>
      <c r="O8" s="19">
        <v>86.3</v>
      </c>
      <c r="P8" s="19">
        <v>0.04</v>
      </c>
      <c r="Q8" s="19">
        <v>0.16200000000000001</v>
      </c>
      <c r="R8" s="19">
        <v>1.6</v>
      </c>
      <c r="S8" s="19">
        <v>54</v>
      </c>
      <c r="T8" s="19">
        <v>125.5</v>
      </c>
      <c r="U8" s="19">
        <v>4.59</v>
      </c>
      <c r="V8" s="19">
        <v>3.6999999999999998E-2</v>
      </c>
      <c r="W8" s="19">
        <v>0.14499999999999999</v>
      </c>
      <c r="X8" s="19">
        <v>11.2</v>
      </c>
      <c r="Y8" s="19">
        <v>2.2999999999999998</v>
      </c>
    </row>
    <row r="9" spans="1:25" x14ac:dyDescent="0.25">
      <c r="B9">
        <v>7</v>
      </c>
      <c r="C9" s="19" t="s">
        <v>26</v>
      </c>
      <c r="D9" s="21" t="s">
        <v>112</v>
      </c>
      <c r="E9" s="19">
        <v>4.2999999999999997E-2</v>
      </c>
      <c r="F9" s="19">
        <v>25</v>
      </c>
      <c r="G9" s="19">
        <v>3.14</v>
      </c>
      <c r="H9" s="19">
        <v>40.1</v>
      </c>
      <c r="I9" s="19">
        <v>4.5</v>
      </c>
      <c r="J9" s="19">
        <v>7.8E-2</v>
      </c>
      <c r="K9" s="19">
        <v>0.22</v>
      </c>
      <c r="L9" s="19">
        <v>6.1</v>
      </c>
      <c r="M9" s="19">
        <v>1.6</v>
      </c>
      <c r="N9" s="19">
        <v>67</v>
      </c>
      <c r="O9" s="19">
        <v>111.1</v>
      </c>
      <c r="P9" s="19">
        <v>4.7E-2</v>
      </c>
      <c r="Q9" s="19">
        <v>0.19600000000000001</v>
      </c>
      <c r="R9" s="19">
        <v>1.7</v>
      </c>
      <c r="S9" s="19">
        <v>34</v>
      </c>
      <c r="T9" s="19">
        <v>78.8</v>
      </c>
      <c r="U9" s="19">
        <v>5.27</v>
      </c>
      <c r="V9" s="19">
        <v>6.7000000000000004E-2</v>
      </c>
      <c r="W9" s="19">
        <v>0.161</v>
      </c>
      <c r="X9" s="19">
        <v>26.6</v>
      </c>
      <c r="Y9" s="19">
        <v>2.2999999999999998</v>
      </c>
    </row>
    <row r="10" spans="1:25" x14ac:dyDescent="0.25">
      <c r="B10">
        <v>8</v>
      </c>
      <c r="C10" s="19" t="s">
        <v>27</v>
      </c>
      <c r="D10" s="21" t="s">
        <v>113</v>
      </c>
      <c r="E10" s="19">
        <v>4.3999999999999997E-2</v>
      </c>
      <c r="F10" s="19">
        <v>25</v>
      </c>
      <c r="G10" s="19">
        <v>2.78</v>
      </c>
      <c r="H10" s="19">
        <v>41.2</v>
      </c>
      <c r="I10" s="19">
        <v>16.8</v>
      </c>
      <c r="J10" s="19">
        <v>6.8000000000000005E-2</v>
      </c>
      <c r="K10" s="19">
        <v>0.17</v>
      </c>
      <c r="L10" s="19">
        <v>12</v>
      </c>
      <c r="M10" s="19">
        <v>1.6</v>
      </c>
      <c r="N10" s="19">
        <v>64</v>
      </c>
      <c r="O10" s="19">
        <v>88</v>
      </c>
      <c r="P10" s="19">
        <v>4.9000000000000002E-2</v>
      </c>
      <c r="Q10" s="19">
        <v>0.17299999999999999</v>
      </c>
      <c r="R10" s="19">
        <v>1.4</v>
      </c>
      <c r="S10" s="19">
        <v>55</v>
      </c>
      <c r="T10" s="19">
        <v>116.6</v>
      </c>
      <c r="U10" s="19">
        <v>5.08</v>
      </c>
      <c r="V10" s="19">
        <v>0.44</v>
      </c>
      <c r="W10" s="19">
        <v>0.16400000000000001</v>
      </c>
      <c r="X10" s="19">
        <v>9.1999999999999993</v>
      </c>
      <c r="Y10" s="19">
        <v>2.1</v>
      </c>
    </row>
    <row r="11" spans="1:25" x14ac:dyDescent="0.25">
      <c r="B11">
        <v>9</v>
      </c>
      <c r="C11" s="19" t="s">
        <v>46</v>
      </c>
      <c r="D11" s="21">
        <v>16.829999999999998</v>
      </c>
      <c r="E11" s="19">
        <v>2.8000000000000001E-2</v>
      </c>
      <c r="F11" s="19">
        <v>43</v>
      </c>
      <c r="G11" s="19">
        <v>7.82</v>
      </c>
      <c r="H11" s="19">
        <v>269.7</v>
      </c>
      <c r="I11" s="19">
        <v>0</v>
      </c>
      <c r="J11" s="19">
        <v>2.7E-2</v>
      </c>
      <c r="K11" s="19">
        <v>0.11600000000000001</v>
      </c>
      <c r="L11" s="19">
        <v>83.6</v>
      </c>
      <c r="M11" s="19">
        <v>2.7E-2</v>
      </c>
      <c r="N11" s="19">
        <v>35</v>
      </c>
      <c r="O11" s="19">
        <v>67.5</v>
      </c>
      <c r="P11" s="19">
        <v>2.5999999999999999E-2</v>
      </c>
      <c r="Q11" s="19">
        <v>0.10199999999999999</v>
      </c>
      <c r="R11" s="19">
        <v>1.9</v>
      </c>
      <c r="S11" s="19">
        <v>77</v>
      </c>
      <c r="T11" s="19">
        <v>262</v>
      </c>
      <c r="U11" s="19">
        <v>7.76</v>
      </c>
      <c r="V11" s="19">
        <v>0.03</v>
      </c>
      <c r="W11" s="19">
        <v>0.115</v>
      </c>
      <c r="X11" s="19">
        <v>28.3</v>
      </c>
      <c r="Y11" s="19">
        <v>3.4</v>
      </c>
    </row>
    <row r="12" spans="1:25" x14ac:dyDescent="0.25">
      <c r="B12">
        <v>10</v>
      </c>
      <c r="C12" s="19" t="s">
        <v>47</v>
      </c>
      <c r="D12" s="21">
        <v>19.21</v>
      </c>
      <c r="E12" s="19">
        <v>3.2000000000000001E-2</v>
      </c>
      <c r="F12" s="19">
        <v>59</v>
      </c>
      <c r="G12" s="19">
        <v>8.56</v>
      </c>
      <c r="H12" s="19">
        <v>300.3</v>
      </c>
      <c r="I12" s="19">
        <v>1.5</v>
      </c>
      <c r="J12" s="19">
        <v>2.9000000000000001E-2</v>
      </c>
      <c r="K12" s="19">
        <v>0.125</v>
      </c>
      <c r="L12" s="19">
        <v>103.5</v>
      </c>
      <c r="M12" s="19">
        <v>2.9000000000000001E-2</v>
      </c>
      <c r="N12" s="19">
        <v>41</v>
      </c>
      <c r="O12" s="19">
        <v>85.4</v>
      </c>
      <c r="P12" s="19">
        <v>2.3E-2</v>
      </c>
      <c r="Q12" s="19">
        <v>0.127</v>
      </c>
      <c r="R12" s="19">
        <v>2.1</v>
      </c>
      <c r="S12" s="19">
        <v>97</v>
      </c>
      <c r="T12" s="19">
        <v>214.3</v>
      </c>
      <c r="U12" s="19">
        <v>8.7200000000000006</v>
      </c>
      <c r="V12" s="19">
        <v>4.1000000000000002E-2</v>
      </c>
      <c r="W12" s="19">
        <v>0.13200000000000001</v>
      </c>
      <c r="X12" s="19">
        <v>17.899999999999999</v>
      </c>
      <c r="Y12" s="19">
        <v>2.2000000000000002</v>
      </c>
    </row>
    <row r="13" spans="1:25" x14ac:dyDescent="0.25">
      <c r="B13">
        <v>11</v>
      </c>
      <c r="C13" s="19" t="s">
        <v>48</v>
      </c>
      <c r="D13" s="21">
        <v>10.35</v>
      </c>
      <c r="E13" s="19">
        <v>1.7000000000000001E-2</v>
      </c>
      <c r="F13" s="19">
        <v>36</v>
      </c>
      <c r="G13" s="19">
        <v>5.56</v>
      </c>
      <c r="H13" s="19">
        <v>356.5</v>
      </c>
      <c r="I13" s="19">
        <v>0</v>
      </c>
      <c r="J13" s="19">
        <v>1.6E-2</v>
      </c>
      <c r="K13" s="19">
        <v>0.104</v>
      </c>
      <c r="L13" s="19">
        <v>56.4</v>
      </c>
      <c r="M13" s="19">
        <v>1.6E-2</v>
      </c>
      <c r="N13" s="19">
        <v>17</v>
      </c>
      <c r="O13" s="19">
        <v>46</v>
      </c>
      <c r="P13" s="19">
        <v>1.6E-2</v>
      </c>
      <c r="Q13" s="19">
        <v>0.107</v>
      </c>
      <c r="R13" s="19">
        <v>2.7</v>
      </c>
      <c r="S13" s="19">
        <v>50</v>
      </c>
      <c r="T13" s="19">
        <v>197.5</v>
      </c>
      <c r="U13" s="19">
        <v>4.05</v>
      </c>
      <c r="V13" s="19">
        <v>2.1000000000000001E-2</v>
      </c>
      <c r="W13" s="19">
        <v>0.107</v>
      </c>
      <c r="X13" s="19">
        <v>57.5</v>
      </c>
      <c r="Y13" s="19">
        <v>4</v>
      </c>
    </row>
    <row r="14" spans="1:25" x14ac:dyDescent="0.25">
      <c r="B14">
        <v>12</v>
      </c>
      <c r="C14" s="65" t="s">
        <v>135</v>
      </c>
      <c r="D14" s="63">
        <v>26.45</v>
      </c>
      <c r="E14" s="19">
        <v>4.5999999999999999E-2</v>
      </c>
      <c r="F14" s="21">
        <v>32</v>
      </c>
      <c r="G14" s="19">
        <v>3.86</v>
      </c>
      <c r="H14" s="19">
        <v>46.6</v>
      </c>
      <c r="I14" s="19">
        <v>8</v>
      </c>
      <c r="J14" s="19">
        <v>8.3000000000000004E-2</v>
      </c>
      <c r="K14" s="64">
        <v>0.19</v>
      </c>
      <c r="L14" s="19">
        <v>9.6</v>
      </c>
      <c r="M14" s="19">
        <v>1.5</v>
      </c>
      <c r="N14" s="19">
        <v>82</v>
      </c>
      <c r="O14" s="19">
        <v>168.3</v>
      </c>
      <c r="P14" s="19">
        <v>3.9E-2</v>
      </c>
      <c r="Q14" s="64">
        <v>0.27900000000000003</v>
      </c>
      <c r="R14" s="19">
        <v>2.1</v>
      </c>
      <c r="S14" s="19">
        <v>25</v>
      </c>
      <c r="T14" s="19">
        <v>23</v>
      </c>
      <c r="U14" s="19">
        <v>1.86</v>
      </c>
      <c r="V14" s="19">
        <v>8.1000000000000003E-2</v>
      </c>
      <c r="W14" s="19">
        <v>0.20599999999999999</v>
      </c>
      <c r="X14" s="19">
        <v>3.1</v>
      </c>
      <c r="Y14" s="19">
        <v>0.9</v>
      </c>
    </row>
    <row r="15" spans="1:25" x14ac:dyDescent="0.25">
      <c r="B15">
        <v>13</v>
      </c>
      <c r="C15" s="65" t="s">
        <v>136</v>
      </c>
      <c r="D15" s="21">
        <v>17.03</v>
      </c>
      <c r="E15" s="19">
        <v>2.8000000000000001E-2</v>
      </c>
      <c r="F15" s="21">
        <v>13</v>
      </c>
      <c r="G15" s="19">
        <v>2.44</v>
      </c>
      <c r="H15" s="19">
        <v>55.5</v>
      </c>
      <c r="I15" s="19">
        <v>44.9</v>
      </c>
      <c r="J15" s="19">
        <v>4.3999999999999997E-2</v>
      </c>
      <c r="K15" s="64">
        <v>0.182</v>
      </c>
      <c r="L15" s="19">
        <v>27.1</v>
      </c>
      <c r="M15" s="19">
        <v>4.3</v>
      </c>
      <c r="N15" s="19">
        <v>54</v>
      </c>
      <c r="O15" s="19">
        <v>67.400000000000006</v>
      </c>
      <c r="P15" s="19">
        <v>7.0000000000000007E-2</v>
      </c>
      <c r="Q15" s="64">
        <v>0.28599999999999998</v>
      </c>
      <c r="R15" s="19">
        <v>1.2</v>
      </c>
      <c r="S15" s="19">
        <v>26</v>
      </c>
      <c r="T15" s="19">
        <v>38.5</v>
      </c>
      <c r="U15" s="19">
        <v>2</v>
      </c>
      <c r="V15" s="19">
        <v>5.1999999999999998E-2</v>
      </c>
      <c r="W15" s="19">
        <v>0.245</v>
      </c>
      <c r="X15" s="19">
        <v>18.600000000000001</v>
      </c>
      <c r="Y15" s="19">
        <v>1.5</v>
      </c>
    </row>
    <row r="16" spans="1:25" x14ac:dyDescent="0.25">
      <c r="B16">
        <v>14</v>
      </c>
      <c r="C16" s="65" t="s">
        <v>137</v>
      </c>
      <c r="D16" s="21">
        <v>15.23</v>
      </c>
      <c r="E16" s="19">
        <v>2.5000000000000001E-2</v>
      </c>
      <c r="F16" s="21">
        <v>1</v>
      </c>
      <c r="G16" s="19">
        <v>0.31</v>
      </c>
      <c r="H16" s="19">
        <v>1.3</v>
      </c>
      <c r="I16" s="19">
        <v>53.9</v>
      </c>
      <c r="J16" s="19">
        <v>0.24</v>
      </c>
      <c r="K16" s="64">
        <v>0.24099999999999999</v>
      </c>
      <c r="L16" s="19">
        <v>1.3</v>
      </c>
      <c r="M16" s="19">
        <v>1.3</v>
      </c>
      <c r="N16" s="19">
        <v>72</v>
      </c>
      <c r="O16" s="19">
        <v>101</v>
      </c>
      <c r="P16" s="19">
        <v>3.9E-2</v>
      </c>
      <c r="Q16" s="64">
        <v>0.22800000000000001</v>
      </c>
      <c r="R16" s="19">
        <v>1.4</v>
      </c>
      <c r="S16" s="19">
        <v>40</v>
      </c>
      <c r="T16" s="19">
        <v>111.3</v>
      </c>
      <c r="U16" s="19">
        <v>3.03</v>
      </c>
      <c r="V16" s="19">
        <v>2.7E-2</v>
      </c>
      <c r="W16" s="19">
        <v>0.20399999999999999</v>
      </c>
      <c r="X16" s="19">
        <v>27</v>
      </c>
      <c r="Y16" s="19">
        <v>2.8</v>
      </c>
    </row>
    <row r="17" spans="1:25" x14ac:dyDescent="0.25">
      <c r="B17">
        <v>15</v>
      </c>
      <c r="C17" s="65" t="s">
        <v>138</v>
      </c>
      <c r="D17" s="21">
        <v>13.02</v>
      </c>
      <c r="E17" s="19">
        <v>2.1999999999999999E-2</v>
      </c>
      <c r="F17" s="21">
        <v>8</v>
      </c>
      <c r="G17" s="19">
        <v>1.19</v>
      </c>
      <c r="H17" s="19">
        <v>172.6</v>
      </c>
      <c r="I17" s="19">
        <v>43</v>
      </c>
      <c r="J17" s="19">
        <v>7.0000000000000001E-3</v>
      </c>
      <c r="K17" s="64">
        <v>0.28299999999999997</v>
      </c>
      <c r="L17" s="19">
        <v>121.2</v>
      </c>
      <c r="M17" s="19">
        <v>21.6</v>
      </c>
      <c r="N17" s="19">
        <v>16</v>
      </c>
      <c r="O17" s="19">
        <v>297.8</v>
      </c>
      <c r="P17" s="19">
        <v>1.7999999999999999E-2</v>
      </c>
      <c r="Q17" s="64">
        <v>0.27900000000000003</v>
      </c>
      <c r="R17" s="19">
        <v>18.600000000000001</v>
      </c>
      <c r="S17" s="19">
        <v>4</v>
      </c>
      <c r="T17" s="19">
        <v>22.3</v>
      </c>
      <c r="U17" s="19">
        <v>1.29</v>
      </c>
      <c r="V17" s="19">
        <v>5.8000000000000003E-2</v>
      </c>
      <c r="W17" s="19">
        <v>0.19900000000000001</v>
      </c>
      <c r="X17" s="19">
        <v>12</v>
      </c>
      <c r="Y17" s="19">
        <v>5.6</v>
      </c>
    </row>
    <row r="18" spans="1:25" x14ac:dyDescent="0.25">
      <c r="B18">
        <v>16</v>
      </c>
      <c r="C18" s="65" t="s">
        <v>43</v>
      </c>
      <c r="D18" s="21">
        <v>24.61</v>
      </c>
      <c r="E18" s="19">
        <v>4.1000000000000002E-2</v>
      </c>
      <c r="F18" s="21">
        <v>34</v>
      </c>
      <c r="G18" s="19">
        <v>4.7699999999999996</v>
      </c>
      <c r="H18" s="19">
        <v>168.4</v>
      </c>
      <c r="I18" s="19">
        <v>4.3</v>
      </c>
      <c r="J18" s="19">
        <v>2.8000000000000001E-2</v>
      </c>
      <c r="K18" s="64">
        <v>0.126</v>
      </c>
      <c r="L18" s="19">
        <v>100.5</v>
      </c>
      <c r="M18" s="19">
        <v>5</v>
      </c>
      <c r="N18" s="19">
        <v>53</v>
      </c>
      <c r="O18" s="19">
        <v>163.69999999999999</v>
      </c>
      <c r="P18" s="19">
        <v>3.7999999999999999E-2</v>
      </c>
      <c r="Q18" s="64">
        <v>0.14299999999999999</v>
      </c>
      <c r="R18" s="19">
        <v>3.1</v>
      </c>
      <c r="S18" s="19">
        <v>83</v>
      </c>
      <c r="T18" s="19">
        <v>268</v>
      </c>
      <c r="U18" s="19">
        <v>13.66</v>
      </c>
      <c r="V18" s="19">
        <v>5.0999999999999997E-2</v>
      </c>
      <c r="W18" s="19">
        <v>0.152</v>
      </c>
      <c r="X18" s="19">
        <v>22</v>
      </c>
      <c r="Y18" s="19">
        <v>3.2</v>
      </c>
    </row>
    <row r="19" spans="1:25" x14ac:dyDescent="0.25">
      <c r="B19">
        <v>17</v>
      </c>
      <c r="C19" s="65" t="s">
        <v>44</v>
      </c>
      <c r="D19" s="21">
        <v>21.91</v>
      </c>
      <c r="E19" s="19">
        <v>3.6999999999999998E-2</v>
      </c>
      <c r="F19" s="19">
        <v>60</v>
      </c>
      <c r="G19" s="19">
        <v>7.37</v>
      </c>
      <c r="H19" s="19">
        <v>152.80000000000001</v>
      </c>
      <c r="I19" s="19">
        <v>6.1</v>
      </c>
      <c r="J19" s="19">
        <v>4.8000000000000001E-2</v>
      </c>
      <c r="K19" s="64">
        <v>0.308</v>
      </c>
      <c r="L19" s="19">
        <v>12.3</v>
      </c>
      <c r="M19" s="65" t="s">
        <v>145</v>
      </c>
      <c r="N19" s="19">
        <v>32</v>
      </c>
      <c r="O19" s="19">
        <v>156.6</v>
      </c>
      <c r="P19" s="19">
        <v>2.8000000000000001E-2</v>
      </c>
      <c r="Q19" s="64">
        <v>0.14099999999999999</v>
      </c>
      <c r="R19" s="19">
        <v>4.9000000000000004</v>
      </c>
      <c r="S19" s="19">
        <v>83</v>
      </c>
      <c r="T19" s="19">
        <v>290.60000000000002</v>
      </c>
      <c r="U19" s="19">
        <v>10.14</v>
      </c>
      <c r="V19" s="19">
        <v>3.5000000000000003E-2</v>
      </c>
      <c r="W19" s="19">
        <v>0.313</v>
      </c>
      <c r="X19" s="19">
        <v>43</v>
      </c>
      <c r="Y19" s="19">
        <v>3.5</v>
      </c>
    </row>
    <row r="20" spans="1:25" x14ac:dyDescent="0.25">
      <c r="B20">
        <v>18</v>
      </c>
      <c r="C20" s="65" t="s">
        <v>45</v>
      </c>
      <c r="D20" s="21">
        <v>31.41</v>
      </c>
      <c r="E20" s="19">
        <v>5.1999999999999998E-2</v>
      </c>
      <c r="F20" s="19">
        <v>70</v>
      </c>
      <c r="G20" s="19">
        <v>12.11</v>
      </c>
      <c r="H20" s="19">
        <v>190.8</v>
      </c>
      <c r="I20" s="19">
        <v>16</v>
      </c>
      <c r="J20" s="19">
        <v>6.3E-2</v>
      </c>
      <c r="K20" s="64">
        <v>0.2</v>
      </c>
      <c r="L20" s="19">
        <v>15.2</v>
      </c>
      <c r="M20" s="19">
        <v>2.7</v>
      </c>
      <c r="N20" s="19">
        <v>52</v>
      </c>
      <c r="O20" s="19">
        <v>133.19999999999999</v>
      </c>
      <c r="P20" s="19">
        <v>3.6999999999999998E-2</v>
      </c>
      <c r="Q20" s="64">
        <v>0.189</v>
      </c>
      <c r="R20" s="19">
        <v>2.6</v>
      </c>
      <c r="S20" s="19">
        <v>104</v>
      </c>
      <c r="T20" s="19">
        <v>276.10000000000002</v>
      </c>
      <c r="U20" s="19">
        <v>14.33</v>
      </c>
      <c r="V20" s="19">
        <v>5.1999999999999998E-2</v>
      </c>
      <c r="W20" s="19">
        <v>0.19900000000000001</v>
      </c>
      <c r="X20" s="19">
        <v>31.9</v>
      </c>
      <c r="Y20" s="19">
        <v>2.7</v>
      </c>
    </row>
    <row r="21" spans="1:25" x14ac:dyDescent="0.25">
      <c r="B21">
        <v>19</v>
      </c>
      <c r="C21" s="66" t="s">
        <v>19</v>
      </c>
      <c r="D21" s="67">
        <v>32.159999999999997</v>
      </c>
      <c r="E21" s="19">
        <v>5.3999999999999999E-2</v>
      </c>
      <c r="F21" s="19">
        <v>22</v>
      </c>
      <c r="G21" s="19">
        <v>4.38</v>
      </c>
      <c r="H21" s="19">
        <v>63.2</v>
      </c>
      <c r="I21" s="19">
        <v>0</v>
      </c>
      <c r="J21" s="19">
        <v>6.9000000000000006E-2</v>
      </c>
      <c r="K21" s="64">
        <v>0.19400000000000001</v>
      </c>
      <c r="L21" s="19">
        <v>11.3</v>
      </c>
      <c r="M21" s="19">
        <v>2.9</v>
      </c>
      <c r="N21" s="19">
        <v>63</v>
      </c>
      <c r="O21" s="19">
        <v>116.2</v>
      </c>
      <c r="P21" s="64">
        <v>0.05</v>
      </c>
      <c r="Q21" s="64">
        <v>0.24299999999999999</v>
      </c>
      <c r="R21" s="19">
        <v>1.8</v>
      </c>
      <c r="S21" s="19">
        <v>56</v>
      </c>
      <c r="T21" s="19">
        <v>143.30000000000001</v>
      </c>
      <c r="U21" s="19">
        <v>7.72</v>
      </c>
      <c r="V21" s="19">
        <v>5.3999999999999999E-2</v>
      </c>
      <c r="W21" s="19">
        <v>0.29899999999999999</v>
      </c>
      <c r="X21" s="19">
        <v>29.5</v>
      </c>
      <c r="Y21" s="19">
        <v>2.6</v>
      </c>
    </row>
    <row r="22" spans="1:25" x14ac:dyDescent="0.25">
      <c r="B22">
        <v>20</v>
      </c>
      <c r="C22" s="65" t="s">
        <v>144</v>
      </c>
      <c r="D22" s="21">
        <v>36.799999999999997</v>
      </c>
      <c r="E22" s="19">
        <v>6.0999999999999999E-2</v>
      </c>
      <c r="F22" s="19">
        <v>22</v>
      </c>
      <c r="G22" s="19">
        <v>3.6</v>
      </c>
      <c r="H22" s="19">
        <v>38.6</v>
      </c>
      <c r="I22" s="19">
        <v>0</v>
      </c>
      <c r="J22" s="19">
        <v>9.2999999999999999E-2</v>
      </c>
      <c r="K22" s="64">
        <v>0.23699999999999999</v>
      </c>
      <c r="L22" s="19">
        <v>7.1</v>
      </c>
      <c r="M22" s="19">
        <v>1.8</v>
      </c>
      <c r="N22" s="19">
        <v>98</v>
      </c>
      <c r="O22" s="19">
        <v>147.4</v>
      </c>
      <c r="P22" s="64">
        <v>0.05</v>
      </c>
      <c r="Q22" s="64">
        <v>0.23799999999999999</v>
      </c>
      <c r="R22" s="19">
        <v>1.5</v>
      </c>
      <c r="S22" s="19">
        <v>70</v>
      </c>
      <c r="T22" s="19">
        <v>128.6</v>
      </c>
      <c r="U22" s="19">
        <v>7.79</v>
      </c>
      <c r="V22" s="19">
        <v>6.0999999999999999E-2</v>
      </c>
      <c r="W22" s="19">
        <v>0.223</v>
      </c>
      <c r="X22" s="19">
        <v>11.4</v>
      </c>
      <c r="Y22" s="19">
        <v>1.8</v>
      </c>
    </row>
    <row r="23" spans="1:25" x14ac:dyDescent="0.25">
      <c r="B23">
        <v>21</v>
      </c>
      <c r="C23" s="65" t="s">
        <v>21</v>
      </c>
      <c r="D23" s="21">
        <v>39.5</v>
      </c>
      <c r="E23" s="19">
        <v>6.6000000000000003E-2</v>
      </c>
      <c r="F23" s="19">
        <v>28</v>
      </c>
      <c r="G23" s="19">
        <v>5.43</v>
      </c>
      <c r="H23" s="19">
        <v>56.6</v>
      </c>
      <c r="I23" s="19">
        <v>32.200000000000003</v>
      </c>
      <c r="J23" s="19">
        <v>9.6000000000000002E-2</v>
      </c>
      <c r="K23" s="64">
        <v>0.23100000000000001</v>
      </c>
      <c r="L23" s="19">
        <v>5.5</v>
      </c>
      <c r="M23" s="19">
        <v>2</v>
      </c>
      <c r="N23" s="19">
        <v>77</v>
      </c>
      <c r="O23" s="19">
        <v>112.2</v>
      </c>
      <c r="P23" s="64">
        <v>6.5000000000000002E-2</v>
      </c>
      <c r="Q23" s="64">
        <v>0.248</v>
      </c>
      <c r="R23" s="19">
        <v>1.5</v>
      </c>
      <c r="S23" s="19">
        <v>52</v>
      </c>
      <c r="T23" s="19">
        <v>118.8</v>
      </c>
      <c r="U23" s="19">
        <v>8.68</v>
      </c>
      <c r="V23" s="19">
        <v>7.2999999999999995E-2</v>
      </c>
      <c r="W23" s="19">
        <v>0.23499999999999999</v>
      </c>
      <c r="X23" s="19">
        <v>17.100000000000001</v>
      </c>
      <c r="Y23" s="19">
        <v>2.2999999999999998</v>
      </c>
    </row>
    <row r="24" spans="1:25" x14ac:dyDescent="0.25">
      <c r="C24" s="73" t="s">
        <v>128</v>
      </c>
      <c r="D24" s="72">
        <f>AVERAGE(D3:D23)</f>
        <v>23.081428571428571</v>
      </c>
      <c r="E24" s="72">
        <f t="shared" ref="E24:Y24" si="0">AVERAGE(E3:E23)</f>
        <v>3.9761904761904769E-2</v>
      </c>
      <c r="F24" s="72">
        <f t="shared" si="0"/>
        <v>32.789473684210527</v>
      </c>
      <c r="G24" s="72">
        <f t="shared" si="0"/>
        <v>4.6557142857142848</v>
      </c>
      <c r="H24" s="72">
        <f t="shared" si="0"/>
        <v>109.92380952380951</v>
      </c>
      <c r="I24" s="72">
        <f t="shared" si="0"/>
        <v>15.385714285714286</v>
      </c>
      <c r="J24" s="72">
        <f t="shared" si="0"/>
        <v>7.1904761904761902E-2</v>
      </c>
      <c r="K24" s="72">
        <f t="shared" si="0"/>
        <v>0.18685714285714286</v>
      </c>
      <c r="L24" s="72">
        <f t="shared" si="0"/>
        <v>30.980952380952381</v>
      </c>
      <c r="M24" s="72">
        <f t="shared" si="0"/>
        <v>2.9086000000000003</v>
      </c>
      <c r="N24" s="72">
        <f t="shared" si="0"/>
        <v>60.428571428571431</v>
      </c>
      <c r="O24" s="72">
        <f t="shared" si="0"/>
        <v>139.80476190476188</v>
      </c>
      <c r="P24" s="72">
        <f t="shared" si="0"/>
        <v>3.7761904761904781E-2</v>
      </c>
      <c r="Q24" s="72">
        <f t="shared" si="0"/>
        <v>0.19195238095238093</v>
      </c>
      <c r="R24" s="72">
        <f t="shared" si="0"/>
        <v>2.980952380952381</v>
      </c>
      <c r="S24" s="72">
        <f t="shared" si="0"/>
        <v>51.047619047619051</v>
      </c>
      <c r="T24" s="72">
        <f t="shared" si="0"/>
        <v>133.91904761904763</v>
      </c>
      <c r="U24" s="72">
        <f t="shared" si="0"/>
        <v>5.7990476190476192</v>
      </c>
      <c r="V24" s="72">
        <f t="shared" si="0"/>
        <v>6.7761904761904759E-2</v>
      </c>
      <c r="W24" s="72">
        <f t="shared" si="0"/>
        <v>0.18776190476190474</v>
      </c>
      <c r="X24" s="72">
        <f t="shared" si="0"/>
        <v>24.980952380952381</v>
      </c>
      <c r="Y24" s="72">
        <f t="shared" si="0"/>
        <v>2.6</v>
      </c>
    </row>
    <row r="25" spans="1:25" x14ac:dyDescent="0.25">
      <c r="C25" s="75" t="s">
        <v>148</v>
      </c>
      <c r="D25" s="57">
        <f>_xlfn.STDEV.S(D3:D23)</f>
        <v>9.0302064523148413</v>
      </c>
      <c r="E25" s="60">
        <f t="shared" ref="E25:Y25" si="1">_xlfn.STDEV.S(E3:E23)</f>
        <v>1.3553245965099117E-2</v>
      </c>
      <c r="F25" s="60">
        <f t="shared" si="1"/>
        <v>17.383194142518551</v>
      </c>
      <c r="G25" s="60">
        <f t="shared" si="1"/>
        <v>2.7400265900691041</v>
      </c>
      <c r="H25" s="60">
        <f t="shared" si="1"/>
        <v>100.13810416001448</v>
      </c>
      <c r="I25" s="60">
        <f t="shared" si="1"/>
        <v>17.282282422014916</v>
      </c>
      <c r="J25" s="60">
        <f t="shared" si="1"/>
        <v>5.0759141799191942E-2</v>
      </c>
      <c r="K25" s="60">
        <f t="shared" si="1"/>
        <v>5.4235860566866363E-2</v>
      </c>
      <c r="L25" s="60">
        <f t="shared" si="1"/>
        <v>38.048017281425047</v>
      </c>
      <c r="M25" s="60">
        <f t="shared" si="1"/>
        <v>4.5780526013855098</v>
      </c>
      <c r="N25" s="60">
        <f t="shared" si="1"/>
        <v>23.146428295897895</v>
      </c>
      <c r="O25" s="60">
        <f t="shared" si="1"/>
        <v>69.061258866244913</v>
      </c>
      <c r="P25" s="60">
        <f t="shared" si="1"/>
        <v>1.4983006246760867E-2</v>
      </c>
      <c r="Q25" s="60">
        <f t="shared" si="1"/>
        <v>5.5536903218019219E-2</v>
      </c>
      <c r="R25" s="60">
        <f t="shared" si="1"/>
        <v>3.6815240115499788</v>
      </c>
      <c r="S25" s="60">
        <f t="shared" si="1"/>
        <v>26.839292446851484</v>
      </c>
      <c r="T25" s="60">
        <f t="shared" si="1"/>
        <v>90.061821095554237</v>
      </c>
      <c r="U25" s="60">
        <f t="shared" si="1"/>
        <v>3.870781451802602</v>
      </c>
      <c r="V25" s="60">
        <f t="shared" si="1"/>
        <v>8.7018334138217565E-2</v>
      </c>
      <c r="W25" s="60">
        <f t="shared" si="1"/>
        <v>5.5902508675286469E-2</v>
      </c>
      <c r="X25" s="60">
        <f t="shared" si="1"/>
        <v>23.461002089587286</v>
      </c>
      <c r="Y25" s="60">
        <f t="shared" si="1"/>
        <v>1.1606032913963324</v>
      </c>
    </row>
    <row r="26" spans="1:25" x14ac:dyDescent="0.25">
      <c r="A26" s="71" t="s">
        <v>147</v>
      </c>
      <c r="B26">
        <v>1</v>
      </c>
      <c r="C26" s="19" t="s">
        <v>115</v>
      </c>
      <c r="D26" s="21" t="s">
        <v>116</v>
      </c>
      <c r="E26" s="19">
        <v>0.03</v>
      </c>
      <c r="F26" s="19">
        <v>21</v>
      </c>
      <c r="G26" s="19">
        <v>1.97</v>
      </c>
      <c r="H26" s="19">
        <v>93.3</v>
      </c>
      <c r="I26" s="19">
        <v>10.7</v>
      </c>
      <c r="J26" s="19">
        <v>2.1000000000000001E-2</v>
      </c>
      <c r="K26" s="19">
        <v>0.16800000000000001</v>
      </c>
      <c r="L26" s="19">
        <v>38.299999999999997</v>
      </c>
      <c r="M26" s="19">
        <v>4.4000000000000004</v>
      </c>
      <c r="N26" s="19">
        <v>67</v>
      </c>
      <c r="O26" s="19">
        <v>251.2</v>
      </c>
      <c r="P26" s="19">
        <v>2.1000000000000001E-2</v>
      </c>
      <c r="Q26" s="19">
        <v>0.17899999999999999</v>
      </c>
      <c r="R26" s="19">
        <v>3.7</v>
      </c>
      <c r="S26" s="19">
        <v>17</v>
      </c>
      <c r="T26" s="19">
        <v>16.5</v>
      </c>
      <c r="U26" s="19">
        <v>1.42</v>
      </c>
      <c r="V26" s="19">
        <v>8.5999999999999993E-2</v>
      </c>
      <c r="W26" s="19">
        <v>0.17899999999999999</v>
      </c>
      <c r="X26" s="19">
        <v>2.6</v>
      </c>
      <c r="Y26" s="19">
        <v>1</v>
      </c>
    </row>
    <row r="27" spans="1:25" x14ac:dyDescent="0.25">
      <c r="B27">
        <v>2</v>
      </c>
      <c r="C27" s="19" t="s">
        <v>117</v>
      </c>
      <c r="D27" s="21" t="s">
        <v>118</v>
      </c>
      <c r="E27" s="19">
        <v>0.03</v>
      </c>
      <c r="F27" s="19">
        <v>20</v>
      </c>
      <c r="G27" s="19">
        <v>1.91</v>
      </c>
      <c r="H27" s="19">
        <v>36.1</v>
      </c>
      <c r="I27" s="19">
        <v>8.5</v>
      </c>
      <c r="J27" s="19">
        <v>5.2999999999999999E-2</v>
      </c>
      <c r="K27" s="19">
        <v>0.16300000000000001</v>
      </c>
      <c r="L27" s="19">
        <v>14.5</v>
      </c>
      <c r="M27" s="19">
        <v>1.8</v>
      </c>
      <c r="N27" s="19">
        <v>62</v>
      </c>
      <c r="O27" s="19">
        <v>257.5</v>
      </c>
      <c r="P27" s="19">
        <v>1.9E-2</v>
      </c>
      <c r="Q27" s="19">
        <v>0.17699999999999999</v>
      </c>
      <c r="R27" s="19">
        <v>4.2</v>
      </c>
      <c r="S27" s="19">
        <v>15</v>
      </c>
      <c r="T27" s="19">
        <v>15.7</v>
      </c>
      <c r="U27" s="19">
        <v>1.39</v>
      </c>
      <c r="V27" s="19">
        <v>8.8999999999999996E-2</v>
      </c>
      <c r="W27" s="19">
        <v>0.16200000000000001</v>
      </c>
      <c r="X27" s="19">
        <v>3</v>
      </c>
      <c r="Y27" s="19">
        <v>1</v>
      </c>
    </row>
    <row r="28" spans="1:25" x14ac:dyDescent="0.25">
      <c r="B28">
        <v>3</v>
      </c>
      <c r="C28" s="19" t="s">
        <v>119</v>
      </c>
      <c r="D28" s="21" t="s">
        <v>120</v>
      </c>
      <c r="E28" s="19">
        <v>2.1000000000000001E-2</v>
      </c>
      <c r="F28" s="19">
        <v>25</v>
      </c>
      <c r="G28" s="19">
        <v>3.55</v>
      </c>
      <c r="H28" s="19">
        <v>47.4</v>
      </c>
      <c r="I28" s="19">
        <v>20.100000000000001</v>
      </c>
      <c r="J28" s="19">
        <v>7.4999999999999997E-2</v>
      </c>
      <c r="K28" s="19">
        <v>0.129</v>
      </c>
      <c r="L28" s="19">
        <v>6.7</v>
      </c>
      <c r="M28" s="19">
        <v>1.9</v>
      </c>
      <c r="N28" s="19">
        <v>38</v>
      </c>
      <c r="O28" s="19">
        <v>294.10000000000002</v>
      </c>
      <c r="P28" s="19">
        <v>1.2E-2</v>
      </c>
      <c r="Q28" s="19">
        <v>0.157</v>
      </c>
      <c r="R28" s="19">
        <v>7.7</v>
      </c>
      <c r="S28" s="19">
        <v>1</v>
      </c>
      <c r="T28" s="19">
        <v>0.4</v>
      </c>
      <c r="U28" s="19">
        <v>0</v>
      </c>
      <c r="V28" s="19">
        <v>0</v>
      </c>
      <c r="W28" s="19">
        <v>8.3000000000000004E-2</v>
      </c>
      <c r="X28" s="19">
        <v>0.4</v>
      </c>
      <c r="Y28" s="19">
        <v>0.4</v>
      </c>
    </row>
    <row r="29" spans="1:25" x14ac:dyDescent="0.25">
      <c r="B29">
        <v>4</v>
      </c>
      <c r="C29" s="19" t="s">
        <v>121</v>
      </c>
      <c r="D29" s="21" t="s">
        <v>122</v>
      </c>
      <c r="E29" s="19">
        <v>2.8000000000000001E-2</v>
      </c>
      <c r="F29" s="19">
        <v>26</v>
      </c>
      <c r="G29" s="19">
        <v>4.24</v>
      </c>
      <c r="H29" s="19">
        <v>235.2</v>
      </c>
      <c r="I29" s="19">
        <v>10.8</v>
      </c>
      <c r="J29" s="19">
        <v>1.7999999999999999E-2</v>
      </c>
      <c r="K29" s="19">
        <v>0.17</v>
      </c>
      <c r="L29" s="19">
        <v>67.5</v>
      </c>
      <c r="M29" s="19">
        <v>9</v>
      </c>
      <c r="N29" s="19">
        <v>45</v>
      </c>
      <c r="O29" s="19">
        <v>114.8</v>
      </c>
      <c r="P29" s="19">
        <v>0.03</v>
      </c>
      <c r="Q29" s="19">
        <v>0.186</v>
      </c>
      <c r="R29" s="19">
        <v>2.6</v>
      </c>
      <c r="S29" s="19">
        <v>11</v>
      </c>
      <c r="T29" s="19">
        <v>16.7</v>
      </c>
      <c r="U29" s="19">
        <v>0.31</v>
      </c>
      <c r="V29" s="19">
        <v>1.9E-2</v>
      </c>
      <c r="W29" s="19">
        <v>0.18</v>
      </c>
      <c r="X29" s="19">
        <v>11.1</v>
      </c>
      <c r="Y29" s="19">
        <v>1.5</v>
      </c>
    </row>
    <row r="30" spans="1:25" x14ac:dyDescent="0.25">
      <c r="B30">
        <v>5</v>
      </c>
      <c r="C30" s="19" t="s">
        <v>30</v>
      </c>
      <c r="D30" s="21" t="s">
        <v>123</v>
      </c>
      <c r="E30" s="19">
        <v>6.0999999999999999E-2</v>
      </c>
      <c r="F30" s="19">
        <v>41</v>
      </c>
      <c r="G30" s="19">
        <v>5.54</v>
      </c>
      <c r="H30" s="19">
        <v>59.9</v>
      </c>
      <c r="I30" s="19">
        <v>11.2</v>
      </c>
      <c r="J30" s="19">
        <v>9.2999999999999999E-2</v>
      </c>
      <c r="K30" s="19">
        <v>0.17799999999999999</v>
      </c>
      <c r="L30" s="19">
        <v>5.2</v>
      </c>
      <c r="M30" s="19">
        <v>1.5</v>
      </c>
      <c r="N30" s="19">
        <v>95</v>
      </c>
      <c r="O30" s="19">
        <v>113.5</v>
      </c>
      <c r="P30" s="19">
        <v>6.6000000000000003E-2</v>
      </c>
      <c r="Q30" s="19">
        <v>0.22900000000000001</v>
      </c>
      <c r="R30" s="19">
        <v>1.2</v>
      </c>
      <c r="S30" s="19">
        <v>50</v>
      </c>
      <c r="T30" s="19">
        <v>88.1</v>
      </c>
      <c r="U30" s="19">
        <v>6.88</v>
      </c>
      <c r="V30" s="19">
        <v>7.8E-2</v>
      </c>
      <c r="W30" s="19">
        <v>0.222</v>
      </c>
      <c r="X30" s="19">
        <v>6</v>
      </c>
      <c r="Y30" s="24">
        <v>1.8</v>
      </c>
    </row>
    <row r="31" spans="1:25" x14ac:dyDescent="0.25">
      <c r="B31">
        <v>6</v>
      </c>
      <c r="C31" s="19" t="s">
        <v>31</v>
      </c>
      <c r="D31" s="21" t="s">
        <v>124</v>
      </c>
      <c r="E31" s="19">
        <v>5.6000000000000001E-2</v>
      </c>
      <c r="F31" s="19">
        <v>36</v>
      </c>
      <c r="G31" s="19">
        <v>4.43</v>
      </c>
      <c r="H31" s="19">
        <v>79.3</v>
      </c>
      <c r="I31" s="19">
        <v>11.6</v>
      </c>
      <c r="J31" s="19">
        <v>5.6000000000000001E-2</v>
      </c>
      <c r="K31" s="19">
        <v>0.20899999999999999</v>
      </c>
      <c r="L31" s="19">
        <v>23.4</v>
      </c>
      <c r="M31" s="19">
        <v>2.2000000000000002</v>
      </c>
      <c r="N31" s="19">
        <v>84</v>
      </c>
      <c r="O31" s="19">
        <v>174</v>
      </c>
      <c r="P31" s="19">
        <v>3.3000000000000002E-2</v>
      </c>
      <c r="Q31" s="19">
        <v>0.20499999999999999</v>
      </c>
      <c r="R31" s="19">
        <v>2.1</v>
      </c>
      <c r="S31" s="19">
        <v>58</v>
      </c>
      <c r="T31" s="19" t="s">
        <v>125</v>
      </c>
      <c r="U31" s="19">
        <v>7.74</v>
      </c>
      <c r="V31" s="19">
        <v>7.1999999999999995E-2</v>
      </c>
      <c r="W31" s="19">
        <v>0.19</v>
      </c>
      <c r="X31" s="19">
        <v>9.8000000000000007</v>
      </c>
      <c r="Y31" s="24">
        <v>1.8</v>
      </c>
    </row>
    <row r="32" spans="1:25" x14ac:dyDescent="0.25">
      <c r="B32">
        <v>7</v>
      </c>
      <c r="C32" s="19" t="s">
        <v>32</v>
      </c>
      <c r="D32" s="21" t="s">
        <v>126</v>
      </c>
      <c r="E32" s="19">
        <v>5.3999999999999999E-2</v>
      </c>
      <c r="F32" s="19">
        <v>16</v>
      </c>
      <c r="G32" s="19">
        <v>2.46</v>
      </c>
      <c r="H32" s="19">
        <v>20.6</v>
      </c>
      <c r="I32" s="19">
        <v>20</v>
      </c>
      <c r="J32" s="19">
        <v>0.12</v>
      </c>
      <c r="K32" s="19">
        <v>0.156</v>
      </c>
      <c r="L32" s="19">
        <v>2.9</v>
      </c>
      <c r="M32" s="19">
        <v>1.3</v>
      </c>
      <c r="N32" s="19">
        <v>62</v>
      </c>
      <c r="O32" s="19">
        <v>112.7</v>
      </c>
      <c r="P32" s="19">
        <v>4.5999999999999999E-2</v>
      </c>
      <c r="Q32" s="19">
        <v>0.157</v>
      </c>
      <c r="R32" s="19">
        <v>1.8</v>
      </c>
      <c r="S32" s="19">
        <v>55</v>
      </c>
      <c r="T32" s="19">
        <v>231.5</v>
      </c>
      <c r="U32" s="19">
        <v>7.6</v>
      </c>
      <c r="V32" s="19">
        <v>3.3000000000000002E-2</v>
      </c>
      <c r="W32" s="19">
        <v>0.193</v>
      </c>
      <c r="X32" s="19">
        <v>106.4</v>
      </c>
      <c r="Y32" s="19">
        <v>4.2</v>
      </c>
    </row>
    <row r="33" spans="2:25" x14ac:dyDescent="0.25">
      <c r="B33">
        <v>8</v>
      </c>
      <c r="C33" s="19" t="s">
        <v>33</v>
      </c>
      <c r="D33" s="23">
        <v>16.38</v>
      </c>
      <c r="E33" s="19">
        <v>3.1E-2</v>
      </c>
      <c r="F33" s="19">
        <v>20</v>
      </c>
      <c r="G33" s="19">
        <v>2.98</v>
      </c>
      <c r="H33" s="19">
        <v>68</v>
      </c>
      <c r="I33" s="19">
        <v>35.299999999999997</v>
      </c>
      <c r="J33" s="19">
        <v>4.3999999999999997E-2</v>
      </c>
      <c r="K33" s="19">
        <v>0.14399999999999999</v>
      </c>
      <c r="L33" s="19">
        <v>25.7</v>
      </c>
      <c r="M33" s="19">
        <v>3.4</v>
      </c>
      <c r="N33" s="19">
        <v>30</v>
      </c>
      <c r="O33" s="19">
        <v>69.5</v>
      </c>
      <c r="P33" s="19">
        <v>2.7E-2</v>
      </c>
      <c r="Q33" s="19">
        <v>0.191</v>
      </c>
      <c r="R33" s="19">
        <v>2.2999999999999998</v>
      </c>
      <c r="S33" s="19">
        <v>32</v>
      </c>
      <c r="T33" s="19">
        <v>123.8</v>
      </c>
      <c r="U33" s="19">
        <v>3.34</v>
      </c>
      <c r="V33" s="19">
        <v>2.8000000000000001E-2</v>
      </c>
      <c r="W33" s="19">
        <v>0.17100000000000001</v>
      </c>
      <c r="X33" s="19">
        <v>74.2</v>
      </c>
      <c r="Y33" s="19">
        <v>3.9</v>
      </c>
    </row>
    <row r="34" spans="2:25" x14ac:dyDescent="0.25">
      <c r="B34">
        <v>9</v>
      </c>
      <c r="C34" s="19" t="s">
        <v>62</v>
      </c>
      <c r="D34" s="23">
        <v>13.42</v>
      </c>
      <c r="E34" s="19">
        <v>2.1999999999999999E-2</v>
      </c>
      <c r="F34" s="19">
        <v>33</v>
      </c>
      <c r="G34" s="19">
        <v>5.91</v>
      </c>
      <c r="H34" s="19">
        <v>196.6</v>
      </c>
      <c r="I34" s="19">
        <v>5.0999999999999996</v>
      </c>
      <c r="J34" s="19">
        <v>0.03</v>
      </c>
      <c r="K34" s="19">
        <v>9.6000000000000002E-2</v>
      </c>
      <c r="L34" s="19">
        <v>45.4</v>
      </c>
      <c r="M34" s="19">
        <v>0.03</v>
      </c>
      <c r="N34" s="19">
        <v>29</v>
      </c>
      <c r="O34" s="19">
        <v>49.7</v>
      </c>
      <c r="P34" s="19">
        <v>2.5000000000000001E-2</v>
      </c>
      <c r="Q34" s="19">
        <v>0.11</v>
      </c>
      <c r="R34" s="19">
        <v>1.7</v>
      </c>
      <c r="S34" s="19">
        <v>61</v>
      </c>
      <c r="T34" s="19">
        <v>353.7</v>
      </c>
      <c r="U34" s="19">
        <v>6.27</v>
      </c>
      <c r="V34" s="19">
        <v>1.7999999999999999E-2</v>
      </c>
      <c r="W34" s="19">
        <v>0.105</v>
      </c>
      <c r="X34" s="19">
        <v>140.80000000000001</v>
      </c>
      <c r="Y34" s="19">
        <v>5.8</v>
      </c>
    </row>
    <row r="35" spans="2:25" x14ac:dyDescent="0.25">
      <c r="B35">
        <v>10</v>
      </c>
      <c r="C35" s="19" t="s">
        <v>127</v>
      </c>
      <c r="D35" s="23">
        <v>20.32</v>
      </c>
      <c r="E35" s="19">
        <v>3.4000000000000002E-2</v>
      </c>
      <c r="F35" s="19">
        <v>59</v>
      </c>
      <c r="G35" s="19">
        <v>8.91</v>
      </c>
      <c r="H35" s="19">
        <v>293.8</v>
      </c>
      <c r="I35" s="19">
        <v>0</v>
      </c>
      <c r="J35" s="19">
        <v>0.03</v>
      </c>
      <c r="K35" s="19">
        <v>0.126</v>
      </c>
      <c r="L35" s="19">
        <v>56.7</v>
      </c>
      <c r="M35" s="19">
        <v>0.03</v>
      </c>
      <c r="N35" s="19">
        <v>43</v>
      </c>
      <c r="O35" s="19">
        <v>105.6</v>
      </c>
      <c r="P35" s="19">
        <v>1.6E-2</v>
      </c>
      <c r="Q35" s="19">
        <v>0.13600000000000001</v>
      </c>
      <c r="R35" s="19">
        <v>1.5</v>
      </c>
      <c r="S35" s="19">
        <v>99</v>
      </c>
      <c r="T35" s="19">
        <v>241.5</v>
      </c>
      <c r="U35" s="19">
        <v>9.3000000000000007</v>
      </c>
      <c r="V35" s="19">
        <v>3.9E-2</v>
      </c>
      <c r="W35" s="19">
        <v>0.13600000000000001</v>
      </c>
      <c r="X35" s="19">
        <v>12.6</v>
      </c>
      <c r="Y35" s="19">
        <v>2.4</v>
      </c>
    </row>
    <row r="36" spans="2:25" x14ac:dyDescent="0.25">
      <c r="B36">
        <v>11</v>
      </c>
      <c r="C36" s="19" t="s">
        <v>65</v>
      </c>
      <c r="D36" s="23">
        <v>17.22</v>
      </c>
      <c r="E36" s="19">
        <v>2.9000000000000001E-2</v>
      </c>
      <c r="F36" s="19">
        <v>55</v>
      </c>
      <c r="G36" s="19">
        <v>6.46</v>
      </c>
      <c r="H36" s="19">
        <v>197.3</v>
      </c>
      <c r="I36" s="19">
        <v>13.5</v>
      </c>
      <c r="J36" s="19">
        <v>2.5999999999999999E-2</v>
      </c>
      <c r="K36" s="19">
        <v>9.1999999999999998E-2</v>
      </c>
      <c r="L36" s="19">
        <v>16.899999999999999</v>
      </c>
      <c r="M36" s="19">
        <v>2.5999999999999999E-2</v>
      </c>
      <c r="N36" s="19">
        <v>47</v>
      </c>
      <c r="O36" s="19">
        <v>91.2</v>
      </c>
      <c r="P36" s="19">
        <v>2.4E-2</v>
      </c>
      <c r="Q36" s="19">
        <v>0.115</v>
      </c>
      <c r="R36" s="19">
        <v>2.2000000000000002</v>
      </c>
      <c r="S36" s="19">
        <v>104</v>
      </c>
      <c r="T36" s="19">
        <v>297.10000000000002</v>
      </c>
      <c r="U36" s="19">
        <v>9.06</v>
      </c>
      <c r="V36" s="19">
        <v>0.03</v>
      </c>
      <c r="W36" s="19">
        <v>0.11600000000000001</v>
      </c>
      <c r="X36" s="19">
        <v>22.4</v>
      </c>
      <c r="Y36" s="19">
        <v>2.9</v>
      </c>
    </row>
    <row r="37" spans="2:25" x14ac:dyDescent="0.25">
      <c r="B37">
        <v>12</v>
      </c>
      <c r="C37" s="65" t="s">
        <v>139</v>
      </c>
      <c r="D37" s="21">
        <v>24.36</v>
      </c>
      <c r="E37" s="19">
        <v>4.1000000000000002E-2</v>
      </c>
      <c r="F37" s="19">
        <v>23</v>
      </c>
      <c r="G37" s="19">
        <v>3.29</v>
      </c>
      <c r="H37" s="19">
        <v>34.6</v>
      </c>
      <c r="I37" s="19">
        <v>4</v>
      </c>
      <c r="J37" s="19">
        <v>9.5000000000000001E-2</v>
      </c>
      <c r="K37" s="64">
        <v>0.19600000000000001</v>
      </c>
      <c r="L37" s="19">
        <v>5.7</v>
      </c>
      <c r="M37" s="19">
        <v>1.5</v>
      </c>
      <c r="N37" s="19">
        <v>100</v>
      </c>
      <c r="O37" s="19">
        <v>232.5</v>
      </c>
      <c r="P37" s="19">
        <v>3.3000000000000002E-2</v>
      </c>
      <c r="Q37" s="64">
        <v>0.21199999999999999</v>
      </c>
      <c r="R37" s="19">
        <v>2.2999999999999998</v>
      </c>
      <c r="S37" s="19">
        <v>38</v>
      </c>
      <c r="T37" s="19">
        <v>54.1</v>
      </c>
      <c r="U37" s="19">
        <v>2.37</v>
      </c>
      <c r="V37" s="19">
        <v>4.3999999999999997E-2</v>
      </c>
      <c r="W37" s="19">
        <v>0.185</v>
      </c>
      <c r="X37" s="19">
        <v>13.5</v>
      </c>
      <c r="Y37" s="19">
        <v>1.4</v>
      </c>
    </row>
    <row r="38" spans="2:25" x14ac:dyDescent="0.25">
      <c r="B38">
        <v>13</v>
      </c>
      <c r="C38" s="65" t="s">
        <v>140</v>
      </c>
      <c r="D38" s="21">
        <v>31</v>
      </c>
      <c r="E38" s="19">
        <v>5.1999999999999998E-2</v>
      </c>
      <c r="F38" s="19">
        <v>23</v>
      </c>
      <c r="G38" s="19">
        <v>3.6</v>
      </c>
      <c r="H38" s="19">
        <v>99.4</v>
      </c>
      <c r="I38" s="19">
        <v>0</v>
      </c>
      <c r="J38" s="19">
        <v>3.5999999999999997E-2</v>
      </c>
      <c r="K38" s="64">
        <v>0.189</v>
      </c>
      <c r="L38" s="19">
        <v>73</v>
      </c>
      <c r="M38" s="19">
        <v>4.3</v>
      </c>
      <c r="N38" s="19">
        <v>90</v>
      </c>
      <c r="O38" s="19">
        <v>188.4</v>
      </c>
      <c r="P38" s="19">
        <v>4.7E-2</v>
      </c>
      <c r="Q38" s="64">
        <v>0.251</v>
      </c>
      <c r="R38" s="19">
        <v>2.1</v>
      </c>
      <c r="S38" s="19">
        <v>36</v>
      </c>
      <c r="T38" s="19">
        <v>37.200000000000003</v>
      </c>
      <c r="U38" s="19">
        <v>2.5299999999999998</v>
      </c>
      <c r="V38" s="19">
        <v>6.8000000000000005E-2</v>
      </c>
      <c r="W38" s="19">
        <v>0.219</v>
      </c>
      <c r="X38" s="19">
        <v>5.0999999999999996</v>
      </c>
      <c r="Y38" s="19">
        <v>1</v>
      </c>
    </row>
    <row r="39" spans="2:25" x14ac:dyDescent="0.25">
      <c r="B39">
        <v>14</v>
      </c>
      <c r="C39" s="65" t="s">
        <v>141</v>
      </c>
      <c r="D39" s="21">
        <v>32.46</v>
      </c>
      <c r="E39" s="19">
        <v>5.3999999999999999E-2</v>
      </c>
      <c r="F39" s="19">
        <v>23</v>
      </c>
      <c r="G39" s="19">
        <v>3.83</v>
      </c>
      <c r="H39" s="19">
        <v>37.299999999999997</v>
      </c>
      <c r="I39" s="19">
        <v>3.8</v>
      </c>
      <c r="J39" s="19">
        <v>0.10299999999999999</v>
      </c>
      <c r="K39" s="64">
        <v>0.16</v>
      </c>
      <c r="L39" s="19">
        <v>7.7</v>
      </c>
      <c r="M39" s="19">
        <v>1.6</v>
      </c>
      <c r="N39" s="19">
        <v>95</v>
      </c>
      <c r="O39" s="19">
        <v>189.9</v>
      </c>
      <c r="P39" s="19">
        <v>4.3999999999999997E-2</v>
      </c>
      <c r="Q39" s="64">
        <v>0.26400000000000001</v>
      </c>
      <c r="R39" s="19">
        <v>2</v>
      </c>
      <c r="S39" s="19">
        <v>36</v>
      </c>
      <c r="T39" s="19">
        <v>50.2</v>
      </c>
      <c r="U39" s="19">
        <v>2.93</v>
      </c>
      <c r="V39" s="19">
        <v>5.8000000000000003E-2</v>
      </c>
      <c r="W39" s="19">
        <v>0.17699999999999999</v>
      </c>
      <c r="X39" s="19">
        <v>7.7</v>
      </c>
      <c r="Y39" s="19">
        <v>1.4</v>
      </c>
    </row>
    <row r="40" spans="2:25" x14ac:dyDescent="0.25">
      <c r="B40">
        <v>15</v>
      </c>
      <c r="C40" s="65" t="s">
        <v>142</v>
      </c>
      <c r="D40" s="21">
        <v>22.39</v>
      </c>
      <c r="E40" s="19">
        <v>3.6999999999999998E-2</v>
      </c>
      <c r="F40" s="19">
        <v>24</v>
      </c>
      <c r="G40" s="19">
        <v>3.57</v>
      </c>
      <c r="H40" s="19">
        <v>72.8</v>
      </c>
      <c r="I40" s="19">
        <v>3.5</v>
      </c>
      <c r="J40" s="19">
        <v>4.9000000000000002E-2</v>
      </c>
      <c r="K40" s="64">
        <v>0.187</v>
      </c>
      <c r="L40" s="19">
        <v>19.899999999999999</v>
      </c>
      <c r="M40" s="19">
        <v>3</v>
      </c>
      <c r="N40" s="19">
        <v>54</v>
      </c>
      <c r="O40" s="19">
        <v>131.30000000000001</v>
      </c>
      <c r="P40" s="19">
        <v>4.2999999999999997E-2</v>
      </c>
      <c r="Q40" s="64">
        <v>0.191</v>
      </c>
      <c r="R40" s="19">
        <v>2.4</v>
      </c>
      <c r="S40" s="19">
        <v>24</v>
      </c>
      <c r="T40" s="19">
        <v>26.1</v>
      </c>
      <c r="U40" s="19">
        <v>1.99</v>
      </c>
      <c r="V40" s="19">
        <v>7.5999999999999998E-2</v>
      </c>
      <c r="W40" s="19">
        <v>0.187</v>
      </c>
      <c r="X40" s="19">
        <v>5.3</v>
      </c>
      <c r="Y40" s="19">
        <v>1.1000000000000001</v>
      </c>
    </row>
    <row r="41" spans="2:25" x14ac:dyDescent="0.25">
      <c r="B41">
        <v>16</v>
      </c>
      <c r="C41" s="65" t="s">
        <v>58</v>
      </c>
      <c r="D41" s="21">
        <v>13.51</v>
      </c>
      <c r="E41" s="19">
        <v>2.3E-2</v>
      </c>
      <c r="F41" s="19">
        <v>30</v>
      </c>
      <c r="G41" s="19">
        <v>3.61</v>
      </c>
      <c r="H41" s="19">
        <v>150</v>
      </c>
      <c r="I41" s="19">
        <v>0</v>
      </c>
      <c r="J41" s="19">
        <v>2.4E-2</v>
      </c>
      <c r="K41" s="19">
        <v>9.5000000000000001E-2</v>
      </c>
      <c r="L41" s="19">
        <v>20.7</v>
      </c>
      <c r="M41" s="19">
        <v>5</v>
      </c>
      <c r="N41" s="19">
        <v>31</v>
      </c>
      <c r="O41" s="19">
        <v>161.69999999999999</v>
      </c>
      <c r="P41" s="19">
        <v>1.7999999999999999E-2</v>
      </c>
      <c r="Q41" s="19">
        <v>0.106</v>
      </c>
      <c r="R41" s="19">
        <v>5.2</v>
      </c>
      <c r="S41" s="19">
        <v>57</v>
      </c>
      <c r="T41" s="19">
        <v>288.3</v>
      </c>
      <c r="U41" s="19">
        <v>6.9</v>
      </c>
      <c r="V41" s="19">
        <v>2.4E-2</v>
      </c>
      <c r="W41" s="19">
        <v>0.10199999999999999</v>
      </c>
      <c r="X41" s="19">
        <v>31.2</v>
      </c>
      <c r="Y41" s="68">
        <v>5.0999999999999996</v>
      </c>
    </row>
    <row r="42" spans="2:25" x14ac:dyDescent="0.25">
      <c r="B42">
        <v>17</v>
      </c>
      <c r="C42" s="65" t="s">
        <v>143</v>
      </c>
      <c r="D42" s="21">
        <v>22.37</v>
      </c>
      <c r="E42" s="19">
        <v>3.6999999999999998E-2</v>
      </c>
      <c r="F42" s="19">
        <v>53</v>
      </c>
      <c r="G42" s="19">
        <v>8.3800000000000008</v>
      </c>
      <c r="H42" s="19">
        <v>229</v>
      </c>
      <c r="I42" s="19">
        <v>2.4</v>
      </c>
      <c r="J42" s="19">
        <v>3.6999999999999998E-2</v>
      </c>
      <c r="K42" s="64">
        <v>0.2</v>
      </c>
      <c r="L42" s="19">
        <v>30.5</v>
      </c>
      <c r="M42" s="19">
        <v>4.3</v>
      </c>
      <c r="N42" s="19">
        <v>24</v>
      </c>
      <c r="O42" s="19">
        <v>66.2</v>
      </c>
      <c r="P42" s="19">
        <v>4.2999999999999997E-2</v>
      </c>
      <c r="Q42" s="19">
        <v>0.19900000000000001</v>
      </c>
      <c r="R42" s="19">
        <v>2.8</v>
      </c>
      <c r="S42" s="19">
        <v>71</v>
      </c>
      <c r="T42" s="19">
        <v>304.89999999999998</v>
      </c>
      <c r="U42" s="19">
        <v>11.1</v>
      </c>
      <c r="V42" s="19">
        <v>3.5999999999999997E-2</v>
      </c>
      <c r="W42" s="19">
        <v>0.19900000000000001</v>
      </c>
      <c r="X42" s="19">
        <v>40.4</v>
      </c>
      <c r="Y42" s="68">
        <v>4.3</v>
      </c>
    </row>
    <row r="43" spans="2:25" x14ac:dyDescent="0.25">
      <c r="B43">
        <v>18</v>
      </c>
      <c r="C43" s="65" t="s">
        <v>60</v>
      </c>
      <c r="D43" s="21">
        <v>22.22</v>
      </c>
      <c r="E43" s="19">
        <v>3.6999999999999998E-2</v>
      </c>
      <c r="F43" s="19">
        <v>54</v>
      </c>
      <c r="G43" s="19">
        <v>8.1999999999999993</v>
      </c>
      <c r="H43" s="19">
        <v>108.4</v>
      </c>
      <c r="I43" s="19">
        <v>3.6</v>
      </c>
      <c r="J43" s="19">
        <v>7.5999999999999998E-2</v>
      </c>
      <c r="K43" s="19">
        <v>0.24099999999999999</v>
      </c>
      <c r="L43" s="19">
        <v>10</v>
      </c>
      <c r="M43" s="19">
        <v>2</v>
      </c>
      <c r="N43" s="19">
        <v>42</v>
      </c>
      <c r="O43" s="19">
        <v>66.8</v>
      </c>
      <c r="P43" s="19">
        <v>4.5999999999999999E-2</v>
      </c>
      <c r="Q43" s="19">
        <v>0.19900000000000001</v>
      </c>
      <c r="R43" s="19">
        <v>1.6</v>
      </c>
      <c r="S43" s="19">
        <v>94</v>
      </c>
      <c r="T43" s="19">
        <v>422.8</v>
      </c>
      <c r="U43" s="19">
        <v>10.85</v>
      </c>
      <c r="V43" s="19">
        <v>2.5999999999999999E-2</v>
      </c>
      <c r="W43" s="19">
        <v>0.23400000000000001</v>
      </c>
      <c r="X43" s="19">
        <v>268.2</v>
      </c>
      <c r="Y43" s="19">
        <v>4.5</v>
      </c>
    </row>
    <row r="44" spans="2:25" x14ac:dyDescent="0.25">
      <c r="B44">
        <v>19</v>
      </c>
      <c r="C44" s="65" t="s">
        <v>61</v>
      </c>
      <c r="D44" s="23">
        <v>15.75</v>
      </c>
      <c r="E44" s="19">
        <v>2.5999999999999999E-2</v>
      </c>
      <c r="F44" s="19">
        <v>34</v>
      </c>
      <c r="G44" s="19">
        <v>5.54</v>
      </c>
      <c r="H44" s="19">
        <v>78.3</v>
      </c>
      <c r="I44" s="19">
        <v>4.5</v>
      </c>
      <c r="J44" s="19">
        <v>7.0999999999999994E-2</v>
      </c>
      <c r="K44" s="64">
        <v>0.22</v>
      </c>
      <c r="L44" s="19">
        <v>7.7</v>
      </c>
      <c r="M44" s="19">
        <v>2.2999999999999998</v>
      </c>
      <c r="N44" s="19">
        <v>30</v>
      </c>
      <c r="O44" s="19">
        <v>379.1</v>
      </c>
      <c r="P44" s="19">
        <v>7.0000000000000001E-3</v>
      </c>
      <c r="Q44" s="64">
        <v>0.19</v>
      </c>
      <c r="R44" s="19">
        <v>12.6</v>
      </c>
      <c r="S44" s="19">
        <v>60</v>
      </c>
      <c r="T44" s="19">
        <v>142.6</v>
      </c>
      <c r="U44" s="19">
        <v>7.39</v>
      </c>
      <c r="V44" s="19">
        <v>5.1999999999999998E-2</v>
      </c>
      <c r="W44" s="19">
        <v>0.21199999999999999</v>
      </c>
      <c r="X44" s="19">
        <v>10.8</v>
      </c>
      <c r="Y44" s="19">
        <v>2.4</v>
      </c>
    </row>
    <row r="45" spans="2:25" x14ac:dyDescent="0.25">
      <c r="B45">
        <v>20</v>
      </c>
      <c r="C45" s="66" t="s">
        <v>28</v>
      </c>
      <c r="D45" s="23">
        <v>41.2</v>
      </c>
      <c r="E45" s="19">
        <v>6.9000000000000006E-2</v>
      </c>
      <c r="F45" s="19">
        <v>30</v>
      </c>
      <c r="G45" s="19">
        <v>4.92</v>
      </c>
      <c r="H45" s="19">
        <v>49.2</v>
      </c>
      <c r="I45" s="19">
        <v>8.9</v>
      </c>
      <c r="J45" s="23">
        <v>0.1</v>
      </c>
      <c r="K45" s="19">
        <v>0.28399999999999997</v>
      </c>
      <c r="L45" s="19">
        <v>4.8</v>
      </c>
      <c r="M45" s="19">
        <v>1.6</v>
      </c>
      <c r="N45" s="19">
        <v>89</v>
      </c>
      <c r="O45" s="19">
        <v>135.9</v>
      </c>
      <c r="P45" s="19">
        <v>6.8000000000000005E-2</v>
      </c>
      <c r="Q45" s="19">
        <v>0.35899999999999999</v>
      </c>
      <c r="R45" s="19">
        <v>1.5</v>
      </c>
      <c r="S45" s="19">
        <v>63</v>
      </c>
      <c r="T45" s="19">
        <v>124.8</v>
      </c>
      <c r="U45" s="19">
        <v>7.43</v>
      </c>
      <c r="V45" s="19">
        <v>0.06</v>
      </c>
      <c r="W45" s="19">
        <v>0.22600000000000001</v>
      </c>
      <c r="X45" s="19">
        <v>5.8</v>
      </c>
      <c r="Y45" s="19">
        <v>2</v>
      </c>
    </row>
    <row r="46" spans="2:25" x14ac:dyDescent="0.25">
      <c r="B46">
        <v>21</v>
      </c>
      <c r="C46" s="65" t="s">
        <v>29</v>
      </c>
      <c r="D46" s="23">
        <v>40.1</v>
      </c>
      <c r="E46" s="19">
        <v>6.8000000000000005E-2</v>
      </c>
      <c r="F46" s="19">
        <v>31</v>
      </c>
      <c r="G46" s="19">
        <v>5.38</v>
      </c>
      <c r="H46" s="19">
        <v>56</v>
      </c>
      <c r="I46" s="19">
        <v>0.7</v>
      </c>
      <c r="J46" s="19">
        <v>9.6000000000000002E-2</v>
      </c>
      <c r="K46" s="64">
        <v>0.24</v>
      </c>
      <c r="L46" s="19">
        <v>10.7</v>
      </c>
      <c r="M46" s="19">
        <v>1.8</v>
      </c>
      <c r="N46" s="19">
        <v>101</v>
      </c>
      <c r="O46" s="19">
        <v>121.3</v>
      </c>
      <c r="P46" s="19">
        <v>7.6999999999999999E-2</v>
      </c>
      <c r="Q46" s="19">
        <v>0.246</v>
      </c>
      <c r="R46" s="19">
        <v>1.2</v>
      </c>
      <c r="S46" s="19">
        <v>71</v>
      </c>
      <c r="T46" s="19">
        <v>120</v>
      </c>
      <c r="U46" s="19">
        <v>9</v>
      </c>
      <c r="V46" s="19">
        <v>7.4999999999999997E-2</v>
      </c>
      <c r="W46" s="19">
        <v>0.24399999999999999</v>
      </c>
      <c r="X46" s="65">
        <v>9.9</v>
      </c>
      <c r="Y46" s="19">
        <v>1.7</v>
      </c>
    </row>
    <row r="47" spans="2:25" x14ac:dyDescent="0.25">
      <c r="C47" s="73" t="s">
        <v>128</v>
      </c>
      <c r="D47" s="76">
        <f>AVERAGE(D26:D46)</f>
        <v>23.764285714285716</v>
      </c>
      <c r="E47" s="76">
        <f t="shared" ref="E47:Y47" si="2">AVERAGE(E26:E46)</f>
        <v>4.0000000000000015E-2</v>
      </c>
      <c r="F47" s="76">
        <f t="shared" si="2"/>
        <v>32.238095238095241</v>
      </c>
      <c r="G47" s="76">
        <f t="shared" si="2"/>
        <v>4.6990476190476196</v>
      </c>
      <c r="H47" s="76">
        <f t="shared" si="2"/>
        <v>106.78571428571429</v>
      </c>
      <c r="I47" s="76">
        <f t="shared" si="2"/>
        <v>8.4857142857142858</v>
      </c>
      <c r="J47" s="76">
        <f t="shared" si="2"/>
        <v>5.966666666666668E-2</v>
      </c>
      <c r="K47" s="76">
        <f t="shared" si="2"/>
        <v>0.17347619047619051</v>
      </c>
      <c r="L47" s="76">
        <f t="shared" si="2"/>
        <v>23.519047619047615</v>
      </c>
      <c r="M47" s="76">
        <f t="shared" si="2"/>
        <v>2.5231428571428571</v>
      </c>
      <c r="N47" s="76">
        <f t="shared" si="2"/>
        <v>59.904761904761905</v>
      </c>
      <c r="O47" s="76">
        <f t="shared" si="2"/>
        <v>157.47142857142859</v>
      </c>
      <c r="P47" s="76">
        <f t="shared" si="2"/>
        <v>3.5476190476190481E-2</v>
      </c>
      <c r="Q47" s="76">
        <f t="shared" si="2"/>
        <v>0.19328571428571426</v>
      </c>
      <c r="R47" s="76">
        <f t="shared" si="2"/>
        <v>3.0809523809523811</v>
      </c>
      <c r="S47" s="76">
        <f t="shared" si="2"/>
        <v>50.142857142857146</v>
      </c>
      <c r="T47" s="76">
        <f t="shared" si="2"/>
        <v>147.80000000000001</v>
      </c>
      <c r="U47" s="76">
        <f t="shared" si="2"/>
        <v>5.5142857142857133</v>
      </c>
      <c r="V47" s="76">
        <f t="shared" si="2"/>
        <v>4.8142857142857147E-2</v>
      </c>
      <c r="W47" s="76">
        <f t="shared" si="2"/>
        <v>0.17723809523809522</v>
      </c>
      <c r="X47" s="76">
        <f t="shared" si="2"/>
        <v>37.48571428571428</v>
      </c>
      <c r="Y47" s="76">
        <f t="shared" si="2"/>
        <v>2.4571428571428569</v>
      </c>
    </row>
    <row r="48" spans="2:25" x14ac:dyDescent="0.25">
      <c r="C48" s="73" t="s">
        <v>148</v>
      </c>
      <c r="D48" s="76">
        <f>_xlfn.STDEV.S(D26:D46)</f>
        <v>9.160974683015823</v>
      </c>
      <c r="E48" s="76">
        <f t="shared" ref="E48:Y48" si="3">_xlfn.STDEV.S(E26:E46)</f>
        <v>1.5228263197095013E-2</v>
      </c>
      <c r="F48" s="76">
        <f t="shared" si="3"/>
        <v>12.941811163452979</v>
      </c>
      <c r="G48" s="76">
        <f t="shared" si="3"/>
        <v>2.0154426430982952</v>
      </c>
      <c r="H48" s="76">
        <f t="shared" si="3"/>
        <v>78.446423026893257</v>
      </c>
      <c r="I48" s="76">
        <f t="shared" si="3"/>
        <v>8.5759714151975643</v>
      </c>
      <c r="J48" s="76">
        <f t="shared" si="3"/>
        <v>3.1892527860508814E-2</v>
      </c>
      <c r="K48" s="76">
        <f t="shared" si="3"/>
        <v>5.0408946673798818E-2</v>
      </c>
      <c r="L48" s="76">
        <f t="shared" si="3"/>
        <v>21.142058060832664</v>
      </c>
      <c r="M48" s="76">
        <f t="shared" si="3"/>
        <v>2.0584123563007077</v>
      </c>
      <c r="N48" s="76">
        <f t="shared" si="3"/>
        <v>26.953487273272753</v>
      </c>
      <c r="O48" s="76">
        <f t="shared" si="3"/>
        <v>85.35553375650079</v>
      </c>
      <c r="P48" s="76">
        <f t="shared" si="3"/>
        <v>1.8890788886700954E-2</v>
      </c>
      <c r="Q48" s="76">
        <f t="shared" si="3"/>
        <v>5.8112944218257384E-2</v>
      </c>
      <c r="R48" s="76">
        <f t="shared" si="3"/>
        <v>2.6622582608791068</v>
      </c>
      <c r="S48" s="76">
        <f t="shared" si="3"/>
        <v>28.665808403541863</v>
      </c>
      <c r="T48" s="76">
        <f t="shared" si="3"/>
        <v>130.77463137216759</v>
      </c>
      <c r="U48" s="76">
        <f t="shared" si="3"/>
        <v>3.5598926548824088</v>
      </c>
      <c r="V48" s="76">
        <f t="shared" si="3"/>
        <v>2.5562248950915308E-2</v>
      </c>
      <c r="W48" s="76">
        <f t="shared" si="3"/>
        <v>4.5577302203953292E-2</v>
      </c>
      <c r="X48" s="76">
        <f t="shared" si="3"/>
        <v>64.480596195400409</v>
      </c>
      <c r="Y48" s="76">
        <f t="shared" si="3"/>
        <v>1.553889130076991</v>
      </c>
    </row>
    <row r="50" spans="2:24" x14ac:dyDescent="0.25">
      <c r="B50" s="74"/>
      <c r="C50" s="17" t="s">
        <v>79</v>
      </c>
      <c r="D50" s="17" t="s">
        <v>80</v>
      </c>
      <c r="E50" s="18" t="s">
        <v>81</v>
      </c>
      <c r="F50" s="18" t="s">
        <v>82</v>
      </c>
      <c r="G50" s="18" t="s">
        <v>83</v>
      </c>
      <c r="H50" s="17" t="s">
        <v>84</v>
      </c>
      <c r="I50" s="17" t="s">
        <v>85</v>
      </c>
      <c r="J50" s="17" t="s">
        <v>86</v>
      </c>
      <c r="K50" s="17" t="s">
        <v>87</v>
      </c>
      <c r="L50" s="17" t="s">
        <v>85</v>
      </c>
      <c r="M50" s="17" t="s">
        <v>88</v>
      </c>
      <c r="N50" s="17" t="s">
        <v>89</v>
      </c>
      <c r="O50" s="17" t="s">
        <v>90</v>
      </c>
      <c r="P50" s="17" t="s">
        <v>91</v>
      </c>
      <c r="Q50" s="17" t="s">
        <v>92</v>
      </c>
      <c r="R50" s="17" t="s">
        <v>93</v>
      </c>
      <c r="S50" s="17" t="s">
        <v>94</v>
      </c>
      <c r="T50" s="17" t="s">
        <v>95</v>
      </c>
      <c r="U50" s="17" t="s">
        <v>96</v>
      </c>
      <c r="V50" s="17" t="s">
        <v>97</v>
      </c>
      <c r="W50" s="17" t="s">
        <v>98</v>
      </c>
      <c r="X50" s="17" t="s">
        <v>99</v>
      </c>
    </row>
    <row r="51" spans="2:24" x14ac:dyDescent="0.25">
      <c r="B51" s="74" t="s">
        <v>72</v>
      </c>
      <c r="C51" s="20">
        <v>23.081428571428571</v>
      </c>
      <c r="D51" s="20">
        <v>3.9761904761904769E-2</v>
      </c>
      <c r="E51" s="20">
        <v>32.789473684210527</v>
      </c>
      <c r="F51" s="20">
        <v>4.6557142857142848</v>
      </c>
      <c r="G51" s="20">
        <v>109.92380952380951</v>
      </c>
      <c r="H51" s="20">
        <v>15.385714285714286</v>
      </c>
      <c r="I51" s="20">
        <v>7.1904761904761902E-2</v>
      </c>
      <c r="J51" s="20">
        <v>0.18685714285714286</v>
      </c>
      <c r="K51" s="20">
        <v>30.980952380952381</v>
      </c>
      <c r="L51" s="20">
        <v>2.9086000000000003</v>
      </c>
      <c r="M51" s="20">
        <v>60.428571428571431</v>
      </c>
      <c r="N51" s="20">
        <v>139.80476190476188</v>
      </c>
      <c r="O51" s="20">
        <v>3.7761904761904781E-2</v>
      </c>
      <c r="P51" s="20">
        <v>0.19195238095238093</v>
      </c>
      <c r="Q51" s="20">
        <v>2.980952380952381</v>
      </c>
      <c r="R51" s="20">
        <v>51.047619047619051</v>
      </c>
      <c r="S51" s="20">
        <v>133.91904761904763</v>
      </c>
      <c r="T51" s="20">
        <v>5.7990476190476192</v>
      </c>
      <c r="U51" s="20">
        <v>6.7761904761904759E-2</v>
      </c>
      <c r="V51" s="20">
        <v>0.18776190476190474</v>
      </c>
      <c r="W51" s="20">
        <v>24.980952380952381</v>
      </c>
      <c r="X51" s="20">
        <v>2.6</v>
      </c>
    </row>
    <row r="52" spans="2:24" x14ac:dyDescent="0.25">
      <c r="B52" s="74"/>
      <c r="C52" s="20">
        <v>9.0302064523148413</v>
      </c>
      <c r="D52" s="20">
        <v>1.3553245965099117E-2</v>
      </c>
      <c r="E52" s="20">
        <v>17.383194142518551</v>
      </c>
      <c r="F52" s="20">
        <v>2.7400265900691041</v>
      </c>
      <c r="G52" s="20">
        <v>100.13810416001448</v>
      </c>
      <c r="H52" s="20">
        <v>17.282282422014916</v>
      </c>
      <c r="I52" s="20">
        <v>5.0759141799191942E-2</v>
      </c>
      <c r="J52" s="20">
        <v>5.4235860566866363E-2</v>
      </c>
      <c r="K52" s="20">
        <v>38.048017281425047</v>
      </c>
      <c r="L52" s="20">
        <v>4.5780526013855098</v>
      </c>
      <c r="M52" s="20">
        <v>23.146428295897895</v>
      </c>
      <c r="N52" s="20">
        <v>69.061258866244913</v>
      </c>
      <c r="O52" s="20">
        <v>1.4983006246760867E-2</v>
      </c>
      <c r="P52" s="20">
        <v>5.5536903218019219E-2</v>
      </c>
      <c r="Q52" s="20">
        <v>3.6815240115499788</v>
      </c>
      <c r="R52" s="20">
        <v>26.839292446851484</v>
      </c>
      <c r="S52" s="20">
        <v>90.061821095554237</v>
      </c>
      <c r="T52" s="20">
        <v>3.870781451802602</v>
      </c>
      <c r="U52" s="20">
        <v>8.7018334138217565E-2</v>
      </c>
      <c r="V52" s="20">
        <v>5.5902508675286469E-2</v>
      </c>
      <c r="W52" s="20">
        <v>23.461002089587286</v>
      </c>
      <c r="X52" s="20">
        <v>1.1606032913963324</v>
      </c>
    </row>
    <row r="53" spans="2:24" x14ac:dyDescent="0.25">
      <c r="B53" s="74" t="s">
        <v>73</v>
      </c>
      <c r="C53" s="77">
        <v>23.764285714285716</v>
      </c>
      <c r="D53" s="77">
        <v>4.0000000000000015E-2</v>
      </c>
      <c r="E53" s="77">
        <v>32.238095238095241</v>
      </c>
      <c r="F53" s="77">
        <v>4.6990476190476196</v>
      </c>
      <c r="G53" s="77">
        <v>106.78571428571429</v>
      </c>
      <c r="H53" s="77">
        <v>8.4857142857142858</v>
      </c>
      <c r="I53" s="77">
        <v>5.966666666666668E-2</v>
      </c>
      <c r="J53" s="77">
        <v>0.17347619047619051</v>
      </c>
      <c r="K53" s="77">
        <v>23.519047619047615</v>
      </c>
      <c r="L53" s="77">
        <v>2.5231428571428571</v>
      </c>
      <c r="M53" s="77">
        <v>59.904761904761905</v>
      </c>
      <c r="N53" s="77">
        <v>157.47142857142859</v>
      </c>
      <c r="O53" s="77">
        <v>3.5476190476190481E-2</v>
      </c>
      <c r="P53" s="77">
        <v>0.19328571428571426</v>
      </c>
      <c r="Q53" s="77">
        <v>3.0809523809523811</v>
      </c>
      <c r="R53" s="77">
        <v>50.142857142857146</v>
      </c>
      <c r="S53" s="77">
        <v>147.80000000000001</v>
      </c>
      <c r="T53" s="77">
        <v>5.5142857142857133</v>
      </c>
      <c r="U53" s="77">
        <v>4.8142857142857147E-2</v>
      </c>
      <c r="V53" s="77">
        <v>0.17723809523809522</v>
      </c>
      <c r="W53" s="77">
        <v>37.48571428571428</v>
      </c>
      <c r="X53" s="77">
        <v>2.4571428571428569</v>
      </c>
    </row>
    <row r="54" spans="2:24" x14ac:dyDescent="0.25">
      <c r="B54" s="74"/>
      <c r="C54" s="77">
        <v>9.160974683015823</v>
      </c>
      <c r="D54" s="77">
        <v>1.5228263197095013E-2</v>
      </c>
      <c r="E54" s="77">
        <v>12.941811163452979</v>
      </c>
      <c r="F54" s="77">
        <v>2.0154426430982952</v>
      </c>
      <c r="G54" s="77">
        <v>78.446423026893257</v>
      </c>
      <c r="H54" s="77">
        <v>8.5759714151975643</v>
      </c>
      <c r="I54" s="77">
        <v>3.1892527860508814E-2</v>
      </c>
      <c r="J54" s="77">
        <v>5.0408946673798818E-2</v>
      </c>
      <c r="K54" s="77">
        <v>21.142058060832664</v>
      </c>
      <c r="L54" s="77">
        <v>2.0584123563007077</v>
      </c>
      <c r="M54" s="77">
        <v>26.953487273272753</v>
      </c>
      <c r="N54" s="77">
        <v>85.35553375650079</v>
      </c>
      <c r="O54" s="77">
        <v>1.8890788886700954E-2</v>
      </c>
      <c r="P54" s="77">
        <v>5.8112944218257384E-2</v>
      </c>
      <c r="Q54" s="77">
        <v>2.6622582608791068</v>
      </c>
      <c r="R54" s="77">
        <v>28.665808403541863</v>
      </c>
      <c r="S54" s="77">
        <v>130.77463137216759</v>
      </c>
      <c r="T54" s="77">
        <v>3.5598926548824088</v>
      </c>
      <c r="U54" s="77">
        <v>2.5562248950915308E-2</v>
      </c>
      <c r="V54" s="77">
        <v>4.5577302203953292E-2</v>
      </c>
      <c r="W54" s="77">
        <v>64.480596195400409</v>
      </c>
      <c r="X54" s="77">
        <v>1.553889130076991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43"/>
  <sheetViews>
    <sheetView topLeftCell="A9" zoomScaleNormal="100" workbookViewId="0">
      <selection activeCell="C30" sqref="C30"/>
    </sheetView>
  </sheetViews>
  <sheetFormatPr baseColWidth="10" defaultRowHeight="15" x14ac:dyDescent="0.25"/>
  <cols>
    <col min="2" max="2" width="14" customWidth="1"/>
  </cols>
  <sheetData>
    <row r="2" spans="1:24" x14ac:dyDescent="0.25">
      <c r="B2" s="17" t="s">
        <v>78</v>
      </c>
      <c r="C2" s="17" t="s">
        <v>79</v>
      </c>
      <c r="D2" s="17" t="s">
        <v>80</v>
      </c>
      <c r="E2" s="18" t="s">
        <v>81</v>
      </c>
      <c r="F2" s="18" t="s">
        <v>82</v>
      </c>
      <c r="G2" s="18" t="s">
        <v>83</v>
      </c>
      <c r="H2" s="17" t="s">
        <v>84</v>
      </c>
      <c r="I2" s="17" t="s">
        <v>85</v>
      </c>
      <c r="J2" s="17" t="s">
        <v>86</v>
      </c>
      <c r="K2" s="17" t="s">
        <v>87</v>
      </c>
      <c r="L2" s="17" t="s">
        <v>85</v>
      </c>
      <c r="M2" s="17" t="s">
        <v>88</v>
      </c>
      <c r="N2" s="17" t="s">
        <v>89</v>
      </c>
      <c r="O2" s="17" t="s">
        <v>90</v>
      </c>
      <c r="P2" s="17" t="s">
        <v>91</v>
      </c>
      <c r="Q2" s="17" t="s">
        <v>92</v>
      </c>
      <c r="R2" s="17" t="s">
        <v>93</v>
      </c>
      <c r="S2" s="17" t="s">
        <v>94</v>
      </c>
      <c r="T2" s="17" t="s">
        <v>95</v>
      </c>
      <c r="U2" s="17" t="s">
        <v>96</v>
      </c>
      <c r="V2" s="17" t="s">
        <v>97</v>
      </c>
      <c r="W2" s="17" t="s">
        <v>98</v>
      </c>
      <c r="X2" s="17" t="s">
        <v>99</v>
      </c>
    </row>
    <row r="3" spans="1:24" x14ac:dyDescent="0.25">
      <c r="A3">
        <v>1</v>
      </c>
      <c r="B3" s="19" t="s">
        <v>100</v>
      </c>
      <c r="C3" s="20">
        <v>18.63</v>
      </c>
      <c r="D3" s="19">
        <v>3.1E-2</v>
      </c>
      <c r="E3" s="21" t="s">
        <v>101</v>
      </c>
      <c r="F3" s="19">
        <v>2.76</v>
      </c>
      <c r="G3" s="19">
        <v>21.5</v>
      </c>
      <c r="H3" s="19">
        <v>38</v>
      </c>
      <c r="I3" s="19">
        <v>0.129</v>
      </c>
      <c r="J3" s="19">
        <v>0.14499999999999999</v>
      </c>
      <c r="K3" s="19">
        <v>3</v>
      </c>
      <c r="L3" s="19">
        <v>1.5</v>
      </c>
      <c r="M3" s="19">
        <v>80</v>
      </c>
      <c r="N3" s="19">
        <v>250</v>
      </c>
      <c r="O3" s="19">
        <v>2.4E-2</v>
      </c>
      <c r="P3" s="19">
        <v>0.17399999999999999</v>
      </c>
      <c r="Q3" s="19">
        <v>3.1</v>
      </c>
      <c r="R3" s="19">
        <v>21</v>
      </c>
      <c r="S3" s="19">
        <v>70.5</v>
      </c>
      <c r="T3" s="19">
        <v>2.2999999999999998</v>
      </c>
      <c r="U3" s="19">
        <v>3.3000000000000002E-2</v>
      </c>
      <c r="V3" s="19">
        <v>0.153</v>
      </c>
      <c r="W3" s="19">
        <v>38</v>
      </c>
      <c r="X3" s="19">
        <v>3.4</v>
      </c>
    </row>
    <row r="4" spans="1:24" x14ac:dyDescent="0.25">
      <c r="A4">
        <v>2</v>
      </c>
      <c r="B4" s="19" t="s">
        <v>22</v>
      </c>
      <c r="C4" s="21" t="s">
        <v>102</v>
      </c>
      <c r="D4" s="19">
        <v>5.1999999999999998E-2</v>
      </c>
      <c r="E4" s="21">
        <v>40</v>
      </c>
      <c r="F4" s="19">
        <v>6.09</v>
      </c>
      <c r="G4" s="19">
        <v>125.2</v>
      </c>
      <c r="H4" s="19">
        <v>4.9000000000000004</v>
      </c>
      <c r="I4" s="19">
        <v>4.9000000000000002E-2</v>
      </c>
      <c r="J4" s="19">
        <v>0.18</v>
      </c>
      <c r="K4" s="19">
        <v>36.799999999999997</v>
      </c>
      <c r="L4" s="19">
        <v>3.1</v>
      </c>
      <c r="M4" s="19">
        <v>75</v>
      </c>
      <c r="N4" s="19">
        <v>120</v>
      </c>
      <c r="O4" s="19">
        <v>0.05</v>
      </c>
      <c r="P4" s="19">
        <v>0.159</v>
      </c>
      <c r="Q4" s="19">
        <v>1.6</v>
      </c>
      <c r="R4" s="19">
        <v>43</v>
      </c>
      <c r="S4" s="19">
        <v>86.8</v>
      </c>
      <c r="T4" s="19">
        <v>5.94</v>
      </c>
      <c r="U4" s="19">
        <v>6.8000000000000005E-2</v>
      </c>
      <c r="V4" s="19">
        <v>0.19</v>
      </c>
      <c r="W4" s="19">
        <v>6.5</v>
      </c>
      <c r="X4" s="19">
        <v>2</v>
      </c>
    </row>
    <row r="5" spans="1:24" x14ac:dyDescent="0.25">
      <c r="A5">
        <v>3</v>
      </c>
      <c r="B5" s="19" t="s">
        <v>103</v>
      </c>
      <c r="C5" s="21" t="s">
        <v>104</v>
      </c>
      <c r="D5" s="19">
        <v>4.9000000000000002E-2</v>
      </c>
      <c r="E5" s="21">
        <v>40</v>
      </c>
      <c r="F5" s="19">
        <v>5.85</v>
      </c>
      <c r="G5" s="19">
        <v>52.5</v>
      </c>
      <c r="H5" s="19">
        <v>29.3</v>
      </c>
      <c r="I5" s="19">
        <v>0.112</v>
      </c>
      <c r="J5" s="19">
        <v>0.216</v>
      </c>
      <c r="K5" s="19">
        <v>5.0999999999999996</v>
      </c>
      <c r="L5" s="19">
        <v>1.3</v>
      </c>
      <c r="M5" s="19">
        <v>57</v>
      </c>
      <c r="N5" s="19">
        <v>118.3</v>
      </c>
      <c r="O5" s="19">
        <v>3.7999999999999999E-2</v>
      </c>
      <c r="P5" s="19">
        <v>0.21299999999999999</v>
      </c>
      <c r="Q5" s="19">
        <v>2.1</v>
      </c>
      <c r="R5" s="19">
        <v>47</v>
      </c>
      <c r="S5" s="19">
        <v>193.6</v>
      </c>
      <c r="T5" s="19">
        <v>5.13</v>
      </c>
      <c r="U5" s="19">
        <v>2.7E-2</v>
      </c>
      <c r="V5" s="19">
        <v>0.219</v>
      </c>
      <c r="W5" s="19">
        <v>106.7</v>
      </c>
      <c r="X5" s="19">
        <v>4.0999999999999996</v>
      </c>
    </row>
    <row r="6" spans="1:24" x14ac:dyDescent="0.25">
      <c r="A6">
        <v>4</v>
      </c>
      <c r="B6" s="19" t="s">
        <v>105</v>
      </c>
      <c r="C6" s="21" t="s">
        <v>106</v>
      </c>
      <c r="D6" s="19">
        <v>4.7E-2</v>
      </c>
      <c r="E6" s="21">
        <v>30</v>
      </c>
      <c r="F6" s="19">
        <v>4.09</v>
      </c>
      <c r="G6" s="19">
        <v>62.2</v>
      </c>
      <c r="H6" s="19">
        <v>7.3</v>
      </c>
      <c r="I6" s="19">
        <v>6.6000000000000003E-2</v>
      </c>
      <c r="J6" s="19">
        <v>0.16200000000000001</v>
      </c>
      <c r="K6" s="19">
        <v>14.2</v>
      </c>
      <c r="L6" s="19">
        <v>2.1</v>
      </c>
      <c r="M6" s="19">
        <v>99</v>
      </c>
      <c r="N6" s="19">
        <v>244.2</v>
      </c>
      <c r="O6" s="19">
        <v>0.03</v>
      </c>
      <c r="P6" s="19">
        <v>0.17799999999999999</v>
      </c>
      <c r="Q6" s="19">
        <v>2.5</v>
      </c>
      <c r="R6" s="19">
        <v>34</v>
      </c>
      <c r="S6" s="19">
        <v>29.2</v>
      </c>
      <c r="T6" s="19">
        <v>1.21</v>
      </c>
      <c r="U6" s="19">
        <v>4.2000000000000003E-2</v>
      </c>
      <c r="V6" s="19">
        <v>0.16300000000000001</v>
      </c>
      <c r="W6" s="19">
        <v>3.7</v>
      </c>
      <c r="X6" s="19">
        <v>0.9</v>
      </c>
    </row>
    <row r="7" spans="1:24" x14ac:dyDescent="0.25">
      <c r="A7">
        <v>5</v>
      </c>
      <c r="B7" s="19" t="s">
        <v>107</v>
      </c>
      <c r="C7" s="21" t="s">
        <v>108</v>
      </c>
      <c r="D7" s="19">
        <v>2.1000000000000001E-2</v>
      </c>
      <c r="E7" s="21" t="s">
        <v>109</v>
      </c>
      <c r="F7" s="19">
        <v>1.6</v>
      </c>
      <c r="G7" s="19">
        <v>14.2</v>
      </c>
      <c r="H7" s="19">
        <v>6.7</v>
      </c>
      <c r="I7" s="19">
        <v>0.113</v>
      </c>
      <c r="J7" s="19">
        <v>0.14399999999999999</v>
      </c>
      <c r="K7" s="19">
        <v>3.5</v>
      </c>
      <c r="L7" s="19">
        <v>1.6</v>
      </c>
      <c r="M7" s="19">
        <v>80</v>
      </c>
      <c r="N7" s="19">
        <v>255.3</v>
      </c>
      <c r="O7" s="19">
        <v>1.6E-2</v>
      </c>
      <c r="P7" s="19">
        <v>0.16600000000000001</v>
      </c>
      <c r="Q7" s="19">
        <v>3.2</v>
      </c>
      <c r="R7" s="19">
        <v>17</v>
      </c>
      <c r="S7" s="19">
        <v>17</v>
      </c>
      <c r="T7" s="19">
        <v>1.23</v>
      </c>
      <c r="U7" s="19">
        <v>7.2999999999999995E-2</v>
      </c>
      <c r="V7" s="19">
        <v>0.11899999999999999</v>
      </c>
      <c r="W7" s="19">
        <v>3.4</v>
      </c>
      <c r="X7" s="19">
        <v>1</v>
      </c>
    </row>
    <row r="8" spans="1:24" x14ac:dyDescent="0.25">
      <c r="A8">
        <v>6</v>
      </c>
      <c r="B8" s="19" t="s">
        <v>110</v>
      </c>
      <c r="C8" s="21" t="s">
        <v>111</v>
      </c>
      <c r="D8" s="19">
        <v>3.9E-2</v>
      </c>
      <c r="E8" s="19">
        <v>35</v>
      </c>
      <c r="F8" s="19">
        <v>4.0599999999999996</v>
      </c>
      <c r="G8" s="19">
        <v>78.599999999999994</v>
      </c>
      <c r="H8" s="19">
        <v>5.7</v>
      </c>
      <c r="I8" s="19">
        <v>5.1999999999999998E-2</v>
      </c>
      <c r="J8" s="19">
        <v>0.15</v>
      </c>
      <c r="K8" s="19">
        <v>15.3</v>
      </c>
      <c r="L8" s="19">
        <v>2.2000000000000002</v>
      </c>
      <c r="M8" s="19">
        <v>55</v>
      </c>
      <c r="N8" s="19">
        <v>86.3</v>
      </c>
      <c r="O8" s="19">
        <v>0.04</v>
      </c>
      <c r="P8" s="19">
        <v>0.16200000000000001</v>
      </c>
      <c r="Q8" s="19">
        <v>1.6</v>
      </c>
      <c r="R8" s="19">
        <v>54</v>
      </c>
      <c r="S8" s="19">
        <v>125.5</v>
      </c>
      <c r="T8" s="19">
        <v>4.59</v>
      </c>
      <c r="U8" s="19">
        <v>3.6999999999999998E-2</v>
      </c>
      <c r="V8" s="19">
        <v>0.14499999999999999</v>
      </c>
      <c r="W8" s="19">
        <v>11.2</v>
      </c>
      <c r="X8" s="19">
        <v>2.2999999999999998</v>
      </c>
    </row>
    <row r="9" spans="1:24" x14ac:dyDescent="0.25">
      <c r="A9">
        <v>7</v>
      </c>
      <c r="B9" s="19" t="s">
        <v>26</v>
      </c>
      <c r="C9" s="21" t="s">
        <v>112</v>
      </c>
      <c r="D9" s="19">
        <v>4.2999999999999997E-2</v>
      </c>
      <c r="E9" s="19">
        <v>25</v>
      </c>
      <c r="F9" s="19">
        <v>3.14</v>
      </c>
      <c r="G9" s="19">
        <v>40.1</v>
      </c>
      <c r="H9" s="19">
        <v>4.5</v>
      </c>
      <c r="I9" s="19">
        <v>7.8E-2</v>
      </c>
      <c r="J9" s="19">
        <v>0.22</v>
      </c>
      <c r="K9" s="19">
        <v>6.1</v>
      </c>
      <c r="L9" s="19">
        <v>1.6</v>
      </c>
      <c r="M9" s="19">
        <v>67</v>
      </c>
      <c r="N9" s="19">
        <v>111.1</v>
      </c>
      <c r="O9" s="19">
        <v>4.7E-2</v>
      </c>
      <c r="P9" s="19">
        <v>0.19600000000000001</v>
      </c>
      <c r="Q9" s="19">
        <v>1.7</v>
      </c>
      <c r="R9" s="19">
        <v>34</v>
      </c>
      <c r="S9" s="19">
        <v>78.8</v>
      </c>
      <c r="T9" s="19">
        <v>5.27</v>
      </c>
      <c r="U9" s="19">
        <v>6.7000000000000004E-2</v>
      </c>
      <c r="V9" s="19">
        <v>0.161</v>
      </c>
      <c r="W9" s="19">
        <v>26.6</v>
      </c>
      <c r="X9" s="19">
        <v>2.2999999999999998</v>
      </c>
    </row>
    <row r="10" spans="1:24" x14ac:dyDescent="0.25">
      <c r="A10">
        <v>8</v>
      </c>
      <c r="B10" s="19" t="s">
        <v>27</v>
      </c>
      <c r="C10" s="21" t="s">
        <v>113</v>
      </c>
      <c r="D10" s="19">
        <v>4.3999999999999997E-2</v>
      </c>
      <c r="E10" s="19">
        <v>25</v>
      </c>
      <c r="F10" s="19">
        <v>2.78</v>
      </c>
      <c r="G10" s="19">
        <v>41.2</v>
      </c>
      <c r="H10" s="19">
        <v>16.8</v>
      </c>
      <c r="I10" s="19">
        <v>6.8000000000000005E-2</v>
      </c>
      <c r="J10" s="19">
        <v>0.17</v>
      </c>
      <c r="K10" s="19">
        <v>12</v>
      </c>
      <c r="L10" s="19">
        <v>1.6</v>
      </c>
      <c r="M10" s="19">
        <v>64</v>
      </c>
      <c r="N10" s="19">
        <v>88</v>
      </c>
      <c r="O10" s="19">
        <v>4.9000000000000002E-2</v>
      </c>
      <c r="P10" s="19">
        <v>0.17299999999999999</v>
      </c>
      <c r="Q10" s="19">
        <v>1.4</v>
      </c>
      <c r="R10" s="19">
        <v>55</v>
      </c>
      <c r="S10" s="19">
        <v>116.6</v>
      </c>
      <c r="T10" s="19">
        <v>5.08</v>
      </c>
      <c r="U10" s="19">
        <v>0.44</v>
      </c>
      <c r="V10" s="19">
        <v>0.16400000000000001</v>
      </c>
      <c r="W10" s="19">
        <v>9.1999999999999993</v>
      </c>
      <c r="X10" s="19">
        <v>2.1</v>
      </c>
    </row>
    <row r="11" spans="1:24" x14ac:dyDescent="0.25">
      <c r="A11">
        <v>9</v>
      </c>
      <c r="B11" s="19" t="s">
        <v>46</v>
      </c>
      <c r="C11" s="21">
        <v>16.829999999999998</v>
      </c>
      <c r="D11" s="19">
        <v>2.8000000000000001E-2</v>
      </c>
      <c r="E11" s="19">
        <v>43</v>
      </c>
      <c r="F11" s="19">
        <v>7.82</v>
      </c>
      <c r="G11" s="19">
        <v>269.7</v>
      </c>
      <c r="H11" s="19">
        <v>0</v>
      </c>
      <c r="I11" s="19">
        <v>2.7E-2</v>
      </c>
      <c r="J11" s="19">
        <v>0.11600000000000001</v>
      </c>
      <c r="K11" s="19">
        <v>83.6</v>
      </c>
      <c r="L11" s="19">
        <v>2.7E-2</v>
      </c>
      <c r="M11" s="19">
        <v>35</v>
      </c>
      <c r="N11" s="19">
        <v>67.5</v>
      </c>
      <c r="O11" s="19">
        <v>2.5999999999999999E-2</v>
      </c>
      <c r="P11" s="19">
        <v>0.10199999999999999</v>
      </c>
      <c r="Q11" s="19">
        <v>1.9</v>
      </c>
      <c r="R11" s="19">
        <v>77</v>
      </c>
      <c r="S11" s="19">
        <v>262</v>
      </c>
      <c r="T11" s="19">
        <v>7.76</v>
      </c>
      <c r="U11" s="19">
        <v>0.03</v>
      </c>
      <c r="V11" s="19">
        <v>0.115</v>
      </c>
      <c r="W11" s="19">
        <v>28.3</v>
      </c>
      <c r="X11" s="19">
        <v>3.4</v>
      </c>
    </row>
    <row r="12" spans="1:24" x14ac:dyDescent="0.25">
      <c r="A12">
        <v>10</v>
      </c>
      <c r="B12" s="19" t="s">
        <v>47</v>
      </c>
      <c r="C12" s="21">
        <v>19.21</v>
      </c>
      <c r="D12" s="19">
        <v>3.2000000000000001E-2</v>
      </c>
      <c r="E12" s="19">
        <v>59</v>
      </c>
      <c r="F12" s="19">
        <v>8.56</v>
      </c>
      <c r="G12" s="19">
        <v>300.3</v>
      </c>
      <c r="H12" s="19">
        <v>1.5</v>
      </c>
      <c r="I12" s="19">
        <v>2.9000000000000001E-2</v>
      </c>
      <c r="J12" s="19">
        <v>0.125</v>
      </c>
      <c r="K12" s="19">
        <v>103.5</v>
      </c>
      <c r="L12" s="19">
        <v>2.9000000000000001E-2</v>
      </c>
      <c r="M12" s="19">
        <v>41</v>
      </c>
      <c r="N12" s="19">
        <v>85.4</v>
      </c>
      <c r="O12" s="19">
        <v>2.3E-2</v>
      </c>
      <c r="P12" s="19">
        <v>0.127</v>
      </c>
      <c r="Q12" s="19">
        <v>2.1</v>
      </c>
      <c r="R12" s="19">
        <v>97</v>
      </c>
      <c r="S12" s="19">
        <v>214.3</v>
      </c>
      <c r="T12" s="19">
        <v>8.7200000000000006</v>
      </c>
      <c r="U12" s="19">
        <v>4.1000000000000002E-2</v>
      </c>
      <c r="V12" s="19">
        <v>0.13200000000000001</v>
      </c>
      <c r="W12" s="19">
        <v>17.899999999999999</v>
      </c>
      <c r="X12" s="19">
        <v>2.2000000000000002</v>
      </c>
    </row>
    <row r="13" spans="1:24" x14ac:dyDescent="0.25">
      <c r="A13">
        <v>11</v>
      </c>
      <c r="B13" s="19" t="s">
        <v>48</v>
      </c>
      <c r="C13" s="21">
        <v>10.35</v>
      </c>
      <c r="D13" s="19">
        <v>1.7000000000000001E-2</v>
      </c>
      <c r="E13" s="19">
        <v>36</v>
      </c>
      <c r="F13" s="19">
        <v>5.56</v>
      </c>
      <c r="G13" s="19">
        <v>356.5</v>
      </c>
      <c r="H13" s="19">
        <v>0</v>
      </c>
      <c r="I13" s="19">
        <v>1.6E-2</v>
      </c>
      <c r="J13" s="19">
        <v>0.104</v>
      </c>
      <c r="K13" s="19">
        <v>56.4</v>
      </c>
      <c r="L13" s="19">
        <v>1.6E-2</v>
      </c>
      <c r="M13" s="19">
        <v>17</v>
      </c>
      <c r="N13" s="19">
        <v>46</v>
      </c>
      <c r="O13" s="19">
        <v>1.6E-2</v>
      </c>
      <c r="P13" s="19">
        <v>0.107</v>
      </c>
      <c r="Q13" s="19">
        <v>2.7</v>
      </c>
      <c r="R13" s="19">
        <v>50</v>
      </c>
      <c r="S13" s="19">
        <v>197.5</v>
      </c>
      <c r="T13" s="19">
        <v>4.05</v>
      </c>
      <c r="U13" s="19">
        <v>2.1000000000000001E-2</v>
      </c>
      <c r="V13" s="19">
        <v>0.107</v>
      </c>
      <c r="W13" s="19">
        <v>57.5</v>
      </c>
      <c r="X13" s="19">
        <v>4</v>
      </c>
    </row>
    <row r="14" spans="1:24" x14ac:dyDescent="0.25">
      <c r="B14" s="17" t="s">
        <v>128</v>
      </c>
      <c r="C14" s="22">
        <f t="shared" ref="C14:X14" si="0">AVERAGE(C3:C13)</f>
        <v>16.254999999999999</v>
      </c>
      <c r="D14" s="22">
        <f t="shared" si="0"/>
        <v>3.6636363636363641E-2</v>
      </c>
      <c r="E14" s="22">
        <f t="shared" si="0"/>
        <v>37</v>
      </c>
      <c r="F14" s="22">
        <f t="shared" si="0"/>
        <v>4.7554545454545458</v>
      </c>
      <c r="G14" s="22">
        <f t="shared" si="0"/>
        <v>123.81818181818181</v>
      </c>
      <c r="H14" s="22">
        <f t="shared" si="0"/>
        <v>10.427272727272728</v>
      </c>
      <c r="I14" s="22">
        <f t="shared" si="0"/>
        <v>6.718181818181819E-2</v>
      </c>
      <c r="J14" s="22">
        <f t="shared" si="0"/>
        <v>0.15745454545454549</v>
      </c>
      <c r="K14" s="22">
        <f t="shared" si="0"/>
        <v>30.86363636363636</v>
      </c>
      <c r="L14" s="22">
        <f t="shared" si="0"/>
        <v>1.3701818181818182</v>
      </c>
      <c r="M14" s="22">
        <f t="shared" si="0"/>
        <v>60.909090909090907</v>
      </c>
      <c r="N14" s="22">
        <f t="shared" si="0"/>
        <v>133.82727272727271</v>
      </c>
      <c r="O14" s="22">
        <f t="shared" si="0"/>
        <v>3.2636363636363644E-2</v>
      </c>
      <c r="P14" s="22">
        <f t="shared" si="0"/>
        <v>0.15972727272727275</v>
      </c>
      <c r="Q14" s="22">
        <f t="shared" si="0"/>
        <v>2.1727272727272724</v>
      </c>
      <c r="R14" s="22">
        <f t="shared" si="0"/>
        <v>48.090909090909093</v>
      </c>
      <c r="S14" s="22">
        <f t="shared" si="0"/>
        <v>126.52727272727272</v>
      </c>
      <c r="T14" s="22">
        <f t="shared" si="0"/>
        <v>4.6618181818181812</v>
      </c>
      <c r="U14" s="22">
        <f t="shared" si="0"/>
        <v>7.9909090909090916E-2</v>
      </c>
      <c r="V14" s="22">
        <f t="shared" si="0"/>
        <v>0.15163636363636362</v>
      </c>
      <c r="W14" s="22">
        <f t="shared" si="0"/>
        <v>28.09090909090909</v>
      </c>
      <c r="X14" s="22">
        <f t="shared" si="0"/>
        <v>2.5181818181818181</v>
      </c>
    </row>
    <row r="15" spans="1:24" x14ac:dyDescent="0.25">
      <c r="B15" s="17" t="s">
        <v>149</v>
      </c>
      <c r="C15" s="22">
        <f>_xlfn.STDEV.S(C3:C13)</f>
        <v>4.064984624817173</v>
      </c>
      <c r="D15" s="22">
        <f t="shared" ref="D15:X15" si="1">_xlfn.STDEV.S(D3:D13)</f>
        <v>1.1638494123147778E-2</v>
      </c>
      <c r="E15" s="22">
        <f t="shared" si="1"/>
        <v>10.488088481701515</v>
      </c>
      <c r="F15" s="22">
        <f t="shared" si="1"/>
        <v>2.2106486090573649</v>
      </c>
      <c r="G15" s="22">
        <f t="shared" si="1"/>
        <v>124.02318185066707</v>
      </c>
      <c r="H15" s="22">
        <f t="shared" si="1"/>
        <v>12.513599874463855</v>
      </c>
      <c r="I15" s="22">
        <f t="shared" si="1"/>
        <v>3.7817504364561591E-2</v>
      </c>
      <c r="J15" s="22">
        <f t="shared" si="1"/>
        <v>3.7478963796678276E-2</v>
      </c>
      <c r="K15" s="22">
        <f t="shared" si="1"/>
        <v>35.245432973004398</v>
      </c>
      <c r="L15" s="22">
        <f t="shared" si="1"/>
        <v>0.99148603804408875</v>
      </c>
      <c r="M15" s="22">
        <f t="shared" si="1"/>
        <v>23.389974542331352</v>
      </c>
      <c r="N15" s="22">
        <f t="shared" si="1"/>
        <v>77.588531251842781</v>
      </c>
      <c r="O15" s="22">
        <f t="shared" si="1"/>
        <v>1.2769281320988457E-2</v>
      </c>
      <c r="P15" s="22">
        <f t="shared" si="1"/>
        <v>3.4779565578341727E-2</v>
      </c>
      <c r="Q15" s="22">
        <f t="shared" si="1"/>
        <v>0.62143528881277743</v>
      </c>
      <c r="R15" s="22">
        <f t="shared" si="1"/>
        <v>23.321468845055819</v>
      </c>
      <c r="S15" s="22">
        <f t="shared" si="1"/>
        <v>80.097703973448475</v>
      </c>
      <c r="T15" s="22">
        <f t="shared" si="1"/>
        <v>2.4107128330923966</v>
      </c>
      <c r="U15" s="22">
        <f t="shared" si="1"/>
        <v>0.12073728052714666</v>
      </c>
      <c r="V15" s="22">
        <f t="shared" si="1"/>
        <v>3.3482152640691237E-2</v>
      </c>
      <c r="W15" s="22">
        <f t="shared" si="1"/>
        <v>30.921657605809383</v>
      </c>
      <c r="X15" s="22">
        <f t="shared" si="1"/>
        <v>1.0870309855916549</v>
      </c>
    </row>
    <row r="16" spans="1:24" x14ac:dyDescent="0.25">
      <c r="B16" s="19"/>
      <c r="C16" s="23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</row>
    <row r="17" spans="1:24" x14ac:dyDescent="0.25">
      <c r="B17" s="17" t="s">
        <v>114</v>
      </c>
      <c r="C17" s="23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</row>
    <row r="18" spans="1:24" x14ac:dyDescent="0.25">
      <c r="A18">
        <v>1</v>
      </c>
      <c r="B18" s="19" t="s">
        <v>115</v>
      </c>
      <c r="C18" s="21" t="s">
        <v>116</v>
      </c>
      <c r="D18" s="19">
        <v>0.03</v>
      </c>
      <c r="E18" s="19">
        <v>21</v>
      </c>
      <c r="F18" s="19">
        <v>1.97</v>
      </c>
      <c r="G18" s="19">
        <v>93.3</v>
      </c>
      <c r="H18" s="19">
        <v>10.7</v>
      </c>
      <c r="I18" s="19">
        <v>2.1000000000000001E-2</v>
      </c>
      <c r="J18" s="19">
        <v>0.16800000000000001</v>
      </c>
      <c r="K18" s="19">
        <v>38.299999999999997</v>
      </c>
      <c r="L18" s="19">
        <v>4.4000000000000004</v>
      </c>
      <c r="M18" s="19">
        <v>67</v>
      </c>
      <c r="N18" s="19">
        <v>251.2</v>
      </c>
      <c r="O18" s="19">
        <v>2.1000000000000001E-2</v>
      </c>
      <c r="P18" s="19">
        <v>0.17899999999999999</v>
      </c>
      <c r="Q18" s="19">
        <v>3.7</v>
      </c>
      <c r="R18" s="19">
        <v>17</v>
      </c>
      <c r="S18" s="19">
        <v>16.5</v>
      </c>
      <c r="T18" s="19">
        <v>1.42</v>
      </c>
      <c r="U18" s="19">
        <v>8.5999999999999993E-2</v>
      </c>
      <c r="V18" s="19">
        <v>0.17899999999999999</v>
      </c>
      <c r="W18" s="19">
        <v>2.6</v>
      </c>
      <c r="X18" s="19">
        <v>1</v>
      </c>
    </row>
    <row r="19" spans="1:24" x14ac:dyDescent="0.25">
      <c r="A19">
        <v>2</v>
      </c>
      <c r="B19" s="19" t="s">
        <v>117</v>
      </c>
      <c r="C19" s="21" t="s">
        <v>118</v>
      </c>
      <c r="D19" s="19">
        <v>0.03</v>
      </c>
      <c r="E19" s="19">
        <v>20</v>
      </c>
      <c r="F19" s="19">
        <v>1.91</v>
      </c>
      <c r="G19" s="19">
        <v>36.1</v>
      </c>
      <c r="H19" s="19">
        <v>8.5</v>
      </c>
      <c r="I19" s="19">
        <v>5.2999999999999999E-2</v>
      </c>
      <c r="J19" s="19">
        <v>0.16300000000000001</v>
      </c>
      <c r="K19" s="19">
        <v>14.5</v>
      </c>
      <c r="L19" s="19">
        <v>1.8</v>
      </c>
      <c r="M19" s="19">
        <v>62</v>
      </c>
      <c r="N19" s="19">
        <v>257.5</v>
      </c>
      <c r="O19" s="19">
        <v>1.9E-2</v>
      </c>
      <c r="P19" s="19">
        <v>0.17699999999999999</v>
      </c>
      <c r="Q19" s="19">
        <v>4.2</v>
      </c>
      <c r="R19" s="19">
        <v>15</v>
      </c>
      <c r="S19" s="19">
        <v>15.7</v>
      </c>
      <c r="T19" s="19">
        <v>1.39</v>
      </c>
      <c r="U19" s="19">
        <v>8.8999999999999996E-2</v>
      </c>
      <c r="V19" s="19">
        <v>0.16200000000000001</v>
      </c>
      <c r="W19" s="19">
        <v>3</v>
      </c>
      <c r="X19" s="19">
        <v>1</v>
      </c>
    </row>
    <row r="20" spans="1:24" x14ac:dyDescent="0.25">
      <c r="A20">
        <v>3</v>
      </c>
      <c r="B20" s="19" t="s">
        <v>119</v>
      </c>
      <c r="C20" s="21" t="s">
        <v>120</v>
      </c>
      <c r="D20" s="19">
        <v>2.1000000000000001E-2</v>
      </c>
      <c r="E20" s="19">
        <v>25</v>
      </c>
      <c r="F20" s="19">
        <v>3.55</v>
      </c>
      <c r="G20" s="19">
        <v>47.4</v>
      </c>
      <c r="H20" s="19">
        <v>20.100000000000001</v>
      </c>
      <c r="I20" s="19">
        <v>7.4999999999999997E-2</v>
      </c>
      <c r="J20" s="19">
        <v>0.129</v>
      </c>
      <c r="K20" s="19">
        <v>6.7</v>
      </c>
      <c r="L20" s="19">
        <v>1.9</v>
      </c>
      <c r="M20" s="19">
        <v>38</v>
      </c>
      <c r="N20" s="19">
        <v>294.10000000000002</v>
      </c>
      <c r="O20" s="19">
        <v>1.2E-2</v>
      </c>
      <c r="P20" s="19">
        <v>0.157</v>
      </c>
      <c r="Q20" s="19">
        <v>7.7</v>
      </c>
      <c r="R20" s="19">
        <v>1</v>
      </c>
      <c r="S20" s="19">
        <v>0.4</v>
      </c>
      <c r="T20" s="19">
        <v>0</v>
      </c>
      <c r="U20" s="19">
        <v>0</v>
      </c>
      <c r="V20" s="19">
        <v>8.3000000000000004E-2</v>
      </c>
      <c r="W20" s="19">
        <v>0.4</v>
      </c>
      <c r="X20" s="19">
        <v>0.4</v>
      </c>
    </row>
    <row r="21" spans="1:24" x14ac:dyDescent="0.25">
      <c r="A21">
        <v>4</v>
      </c>
      <c r="B21" s="19" t="s">
        <v>121</v>
      </c>
      <c r="C21" s="21" t="s">
        <v>122</v>
      </c>
      <c r="D21" s="19">
        <v>2.8000000000000001E-2</v>
      </c>
      <c r="E21" s="19">
        <v>26</v>
      </c>
      <c r="F21" s="19">
        <v>4.24</v>
      </c>
      <c r="G21" s="19">
        <v>235.2</v>
      </c>
      <c r="H21" s="19">
        <v>10.8</v>
      </c>
      <c r="I21" s="19">
        <v>1.7999999999999999E-2</v>
      </c>
      <c r="J21" s="19">
        <v>0.17</v>
      </c>
      <c r="K21" s="19">
        <v>67.5</v>
      </c>
      <c r="L21" s="19">
        <v>9</v>
      </c>
      <c r="M21" s="19">
        <v>45</v>
      </c>
      <c r="N21" s="19">
        <v>114.8</v>
      </c>
      <c r="O21" s="19">
        <v>0.03</v>
      </c>
      <c r="P21" s="19">
        <v>0.186</v>
      </c>
      <c r="Q21" s="19">
        <v>2.6</v>
      </c>
      <c r="R21" s="19">
        <v>11</v>
      </c>
      <c r="S21" s="19">
        <v>16.7</v>
      </c>
      <c r="T21" s="19">
        <v>0.31</v>
      </c>
      <c r="U21" s="19">
        <v>1.9E-2</v>
      </c>
      <c r="V21" s="19">
        <v>0.18</v>
      </c>
      <c r="W21" s="19">
        <v>11.1</v>
      </c>
      <c r="X21" s="19">
        <v>1.5</v>
      </c>
    </row>
    <row r="22" spans="1:24" x14ac:dyDescent="0.25">
      <c r="A22">
        <v>5</v>
      </c>
      <c r="B22" s="19" t="s">
        <v>30</v>
      </c>
      <c r="C22" s="21" t="s">
        <v>123</v>
      </c>
      <c r="D22" s="19">
        <v>6.0999999999999999E-2</v>
      </c>
      <c r="E22" s="19">
        <v>41</v>
      </c>
      <c r="F22" s="19">
        <v>5.54</v>
      </c>
      <c r="G22" s="19">
        <v>59.9</v>
      </c>
      <c r="H22" s="19">
        <v>11.2</v>
      </c>
      <c r="I22" s="19">
        <v>9.2999999999999999E-2</v>
      </c>
      <c r="J22" s="19">
        <v>0.17799999999999999</v>
      </c>
      <c r="K22" s="19">
        <v>5.2</v>
      </c>
      <c r="L22" s="19">
        <v>1.5</v>
      </c>
      <c r="M22" s="19">
        <v>95</v>
      </c>
      <c r="N22" s="19">
        <v>113.5</v>
      </c>
      <c r="O22" s="19">
        <v>6.6000000000000003E-2</v>
      </c>
      <c r="P22" s="19">
        <v>0.22900000000000001</v>
      </c>
      <c r="Q22" s="19">
        <v>1.2</v>
      </c>
      <c r="R22" s="19">
        <v>50</v>
      </c>
      <c r="S22" s="19">
        <v>88.1</v>
      </c>
      <c r="T22" s="19">
        <v>6.88</v>
      </c>
      <c r="U22" s="19">
        <v>7.8E-2</v>
      </c>
      <c r="V22" s="19">
        <v>0.222</v>
      </c>
      <c r="W22" s="19">
        <v>6</v>
      </c>
      <c r="X22" s="24">
        <v>1.8</v>
      </c>
    </row>
    <row r="23" spans="1:24" x14ac:dyDescent="0.25">
      <c r="A23">
        <v>6</v>
      </c>
      <c r="B23" s="19" t="s">
        <v>31</v>
      </c>
      <c r="C23" s="21" t="s">
        <v>124</v>
      </c>
      <c r="D23" s="19">
        <v>5.6000000000000001E-2</v>
      </c>
      <c r="E23" s="19">
        <v>36</v>
      </c>
      <c r="F23" s="19">
        <v>4.43</v>
      </c>
      <c r="G23" s="19">
        <v>79.3</v>
      </c>
      <c r="H23" s="19">
        <v>11.6</v>
      </c>
      <c r="I23" s="19">
        <v>5.6000000000000001E-2</v>
      </c>
      <c r="J23" s="19">
        <v>0.20899999999999999</v>
      </c>
      <c r="K23" s="19">
        <v>23.4</v>
      </c>
      <c r="L23" s="19">
        <v>2.2000000000000002</v>
      </c>
      <c r="M23" s="19">
        <v>84</v>
      </c>
      <c r="N23" s="19">
        <v>174</v>
      </c>
      <c r="O23" s="19">
        <v>3.3000000000000002E-2</v>
      </c>
      <c r="P23" s="19">
        <v>0.20499999999999999</v>
      </c>
      <c r="Q23" s="19">
        <v>2.1</v>
      </c>
      <c r="R23" s="19">
        <v>58</v>
      </c>
      <c r="S23" s="19" t="s">
        <v>125</v>
      </c>
      <c r="T23" s="19">
        <v>7.74</v>
      </c>
      <c r="U23" s="19">
        <v>7.1999999999999995E-2</v>
      </c>
      <c r="V23" s="19">
        <v>0.19</v>
      </c>
      <c r="W23" s="19">
        <v>9.8000000000000007</v>
      </c>
      <c r="X23" s="24">
        <v>1.8</v>
      </c>
    </row>
    <row r="24" spans="1:24" x14ac:dyDescent="0.25">
      <c r="A24">
        <v>7</v>
      </c>
      <c r="B24" s="19" t="s">
        <v>32</v>
      </c>
      <c r="C24" s="21" t="s">
        <v>126</v>
      </c>
      <c r="D24" s="19">
        <v>5.3999999999999999E-2</v>
      </c>
      <c r="E24" s="19">
        <v>16</v>
      </c>
      <c r="F24" s="19">
        <v>2.46</v>
      </c>
      <c r="G24" s="19">
        <v>20.6</v>
      </c>
      <c r="H24" s="19">
        <v>20</v>
      </c>
      <c r="I24" s="19">
        <v>0.12</v>
      </c>
      <c r="J24" s="19">
        <v>0.156</v>
      </c>
      <c r="K24" s="19">
        <v>2.9</v>
      </c>
      <c r="L24" s="19">
        <v>1.3</v>
      </c>
      <c r="M24" s="19">
        <v>62</v>
      </c>
      <c r="N24" s="19">
        <v>112.7</v>
      </c>
      <c r="O24" s="19">
        <v>4.5999999999999999E-2</v>
      </c>
      <c r="P24" s="19">
        <v>0.157</v>
      </c>
      <c r="Q24" s="19">
        <v>1.8</v>
      </c>
      <c r="R24" s="19">
        <v>55</v>
      </c>
      <c r="S24" s="19">
        <v>231.5</v>
      </c>
      <c r="T24" s="19">
        <v>7.6</v>
      </c>
      <c r="U24" s="19">
        <v>3.3000000000000002E-2</v>
      </c>
      <c r="V24" s="19">
        <v>0.193</v>
      </c>
      <c r="W24" s="19">
        <v>106.4</v>
      </c>
      <c r="X24" s="19">
        <v>4.2</v>
      </c>
    </row>
    <row r="25" spans="1:24" x14ac:dyDescent="0.25">
      <c r="A25">
        <v>8</v>
      </c>
      <c r="B25" s="19" t="s">
        <v>33</v>
      </c>
      <c r="C25" s="23">
        <v>16.38</v>
      </c>
      <c r="D25" s="19">
        <v>3.1E-2</v>
      </c>
      <c r="E25" s="19">
        <v>20</v>
      </c>
      <c r="F25" s="19">
        <v>2.98</v>
      </c>
      <c r="G25" s="19">
        <v>68</v>
      </c>
      <c r="H25" s="19">
        <v>35.299999999999997</v>
      </c>
      <c r="I25" s="19">
        <v>4.3999999999999997E-2</v>
      </c>
      <c r="J25" s="19">
        <v>0.14399999999999999</v>
      </c>
      <c r="K25" s="19">
        <v>25.7</v>
      </c>
      <c r="L25" s="19">
        <v>3.4</v>
      </c>
      <c r="M25" s="19">
        <v>30</v>
      </c>
      <c r="N25" s="19">
        <v>69.5</v>
      </c>
      <c r="O25" s="19">
        <v>2.7E-2</v>
      </c>
      <c r="P25" s="19">
        <v>0.191</v>
      </c>
      <c r="Q25" s="19">
        <v>2.2999999999999998</v>
      </c>
      <c r="R25" s="19">
        <v>32</v>
      </c>
      <c r="S25" s="19">
        <v>123.8</v>
      </c>
      <c r="T25" s="19">
        <v>3.34</v>
      </c>
      <c r="U25" s="19">
        <v>2.8000000000000001E-2</v>
      </c>
      <c r="V25" s="19">
        <v>0.17100000000000001</v>
      </c>
      <c r="W25" s="19">
        <v>74.2</v>
      </c>
      <c r="X25" s="19">
        <v>3.9</v>
      </c>
    </row>
    <row r="26" spans="1:24" x14ac:dyDescent="0.25">
      <c r="A26">
        <v>9</v>
      </c>
      <c r="B26" s="19" t="s">
        <v>62</v>
      </c>
      <c r="C26" s="23">
        <v>13.42</v>
      </c>
      <c r="D26" s="19">
        <v>2.1999999999999999E-2</v>
      </c>
      <c r="E26" s="19">
        <v>33</v>
      </c>
      <c r="F26" s="19">
        <v>5.91</v>
      </c>
      <c r="G26" s="19">
        <v>196.6</v>
      </c>
      <c r="H26" s="19">
        <v>5.0999999999999996</v>
      </c>
      <c r="I26" s="19">
        <v>0.03</v>
      </c>
      <c r="J26" s="19">
        <v>9.6000000000000002E-2</v>
      </c>
      <c r="K26" s="19">
        <v>45.4</v>
      </c>
      <c r="L26" s="19">
        <v>0.03</v>
      </c>
      <c r="M26" s="19">
        <v>29</v>
      </c>
      <c r="N26" s="19">
        <v>49.7</v>
      </c>
      <c r="O26" s="19">
        <v>2.5000000000000001E-2</v>
      </c>
      <c r="P26" s="19">
        <v>0.11</v>
      </c>
      <c r="Q26" s="19">
        <v>1.7</v>
      </c>
      <c r="R26" s="19">
        <v>61</v>
      </c>
      <c r="S26" s="19">
        <v>353.7</v>
      </c>
      <c r="T26" s="19">
        <v>6.27</v>
      </c>
      <c r="U26" s="19">
        <v>1.7999999999999999E-2</v>
      </c>
      <c r="V26" s="19">
        <v>0.105</v>
      </c>
      <c r="W26" s="19">
        <v>140.80000000000001</v>
      </c>
      <c r="X26" s="19">
        <v>5.8</v>
      </c>
    </row>
    <row r="27" spans="1:24" x14ac:dyDescent="0.25">
      <c r="A27">
        <v>10</v>
      </c>
      <c r="B27" s="19" t="s">
        <v>127</v>
      </c>
      <c r="C27" s="23">
        <v>20.32</v>
      </c>
      <c r="D27" s="19">
        <v>3.4000000000000002E-2</v>
      </c>
      <c r="E27" s="19">
        <v>59</v>
      </c>
      <c r="F27" s="19">
        <v>8.91</v>
      </c>
      <c r="G27" s="19">
        <v>293.8</v>
      </c>
      <c r="H27" s="19">
        <v>0</v>
      </c>
      <c r="I27" s="19">
        <v>0.03</v>
      </c>
      <c r="J27" s="19">
        <v>0.126</v>
      </c>
      <c r="K27" s="19">
        <v>56.7</v>
      </c>
      <c r="L27" s="19">
        <v>0.03</v>
      </c>
      <c r="M27" s="19">
        <v>43</v>
      </c>
      <c r="N27" s="19">
        <v>105.6</v>
      </c>
      <c r="O27" s="19">
        <v>1.6E-2</v>
      </c>
      <c r="P27" s="19">
        <v>0.13600000000000001</v>
      </c>
      <c r="Q27" s="19">
        <v>1.5</v>
      </c>
      <c r="R27" s="19">
        <v>99</v>
      </c>
      <c r="S27" s="19">
        <v>241.5</v>
      </c>
      <c r="T27" s="19">
        <v>9.3000000000000007</v>
      </c>
      <c r="U27" s="19">
        <v>3.9E-2</v>
      </c>
      <c r="V27" s="19">
        <v>0.13600000000000001</v>
      </c>
      <c r="W27" s="19">
        <v>12.6</v>
      </c>
      <c r="X27" s="19">
        <v>2.4</v>
      </c>
    </row>
    <row r="28" spans="1:24" x14ac:dyDescent="0.25">
      <c r="A28">
        <v>11</v>
      </c>
      <c r="B28" s="19" t="s">
        <v>65</v>
      </c>
      <c r="C28" s="23">
        <v>17.22</v>
      </c>
      <c r="D28" s="19">
        <v>2.9000000000000001E-2</v>
      </c>
      <c r="E28" s="19">
        <v>55</v>
      </c>
      <c r="F28" s="19">
        <v>6.46</v>
      </c>
      <c r="G28" s="19">
        <v>197.3</v>
      </c>
      <c r="H28" s="19">
        <v>13.5</v>
      </c>
      <c r="I28" s="19">
        <v>2.5999999999999999E-2</v>
      </c>
      <c r="J28" s="19">
        <v>9.1999999999999998E-2</v>
      </c>
      <c r="K28" s="19">
        <v>16.899999999999999</v>
      </c>
      <c r="L28" s="19">
        <v>2.5999999999999999E-2</v>
      </c>
      <c r="M28" s="19">
        <v>47</v>
      </c>
      <c r="N28" s="19">
        <v>91.2</v>
      </c>
      <c r="O28" s="19">
        <v>2.4E-2</v>
      </c>
      <c r="P28" s="19">
        <v>0.115</v>
      </c>
      <c r="Q28" s="19">
        <v>2.2000000000000002</v>
      </c>
      <c r="R28" s="19">
        <v>104</v>
      </c>
      <c r="S28" s="19">
        <v>297.10000000000002</v>
      </c>
      <c r="T28" s="19">
        <v>9.06</v>
      </c>
      <c r="U28" s="19">
        <v>0.03</v>
      </c>
      <c r="V28" s="19">
        <v>0.11600000000000001</v>
      </c>
      <c r="W28" s="19">
        <v>22.4</v>
      </c>
      <c r="X28" s="19">
        <v>2.9</v>
      </c>
    </row>
    <row r="29" spans="1:24" x14ac:dyDescent="0.25">
      <c r="B29" s="17" t="s">
        <v>128</v>
      </c>
      <c r="C29" s="17">
        <f t="shared" ref="C29:X29" si="2">AVERAGE(C18:C28)</f>
        <v>16.835000000000001</v>
      </c>
      <c r="D29" s="17">
        <f t="shared" si="2"/>
        <v>3.6000000000000004E-2</v>
      </c>
      <c r="E29" s="22">
        <f t="shared" si="2"/>
        <v>32</v>
      </c>
      <c r="F29" s="22">
        <f t="shared" si="2"/>
        <v>4.3963636363636374</v>
      </c>
      <c r="G29" s="22">
        <f t="shared" si="2"/>
        <v>120.68181818181819</v>
      </c>
      <c r="H29" s="22">
        <f t="shared" si="2"/>
        <v>13.345454545454544</v>
      </c>
      <c r="I29" s="22">
        <f t="shared" si="2"/>
        <v>5.1454545454545461E-2</v>
      </c>
      <c r="J29" s="22">
        <f t="shared" si="2"/>
        <v>0.14827272727272731</v>
      </c>
      <c r="K29" s="22">
        <f t="shared" si="2"/>
        <v>27.563636363636363</v>
      </c>
      <c r="L29" s="22">
        <f t="shared" si="2"/>
        <v>2.3260000000000001</v>
      </c>
      <c r="M29" s="22">
        <f t="shared" si="2"/>
        <v>54.727272727272727</v>
      </c>
      <c r="N29" s="22">
        <f t="shared" si="2"/>
        <v>148.52727272727273</v>
      </c>
      <c r="O29" s="22">
        <f t="shared" si="2"/>
        <v>2.9000000000000012E-2</v>
      </c>
      <c r="P29" s="22">
        <f t="shared" si="2"/>
        <v>0.16745454545454549</v>
      </c>
      <c r="Q29" s="22">
        <f t="shared" si="2"/>
        <v>2.8181818181818183</v>
      </c>
      <c r="R29" s="22">
        <f t="shared" si="2"/>
        <v>45.727272727272727</v>
      </c>
      <c r="S29" s="22">
        <f t="shared" si="2"/>
        <v>138.5</v>
      </c>
      <c r="T29" s="22">
        <f t="shared" si="2"/>
        <v>4.8463636363636367</v>
      </c>
      <c r="U29" s="22">
        <f t="shared" si="2"/>
        <v>4.4727272727272727E-2</v>
      </c>
      <c r="V29" s="22">
        <f t="shared" si="2"/>
        <v>0.15790909090909092</v>
      </c>
      <c r="W29" s="22">
        <f t="shared" si="2"/>
        <v>35.390909090909091</v>
      </c>
      <c r="X29" s="22">
        <f t="shared" si="2"/>
        <v>2.4272727272727268</v>
      </c>
    </row>
    <row r="30" spans="1:24" x14ac:dyDescent="0.25">
      <c r="B30" s="73" t="s">
        <v>149</v>
      </c>
      <c r="C30" s="78">
        <f>_xlfn.STDEV.S(C18:C28)</f>
        <v>2.8379981207416765</v>
      </c>
      <c r="D30" s="78">
        <f t="shared" ref="D30:X30" si="3">_xlfn.STDEV.S(D18:D28)</f>
        <v>1.4085453489327207E-2</v>
      </c>
      <c r="E30" s="78">
        <f t="shared" si="3"/>
        <v>14.512063946937388</v>
      </c>
      <c r="F30" s="78">
        <f t="shared" si="3"/>
        <v>2.1632673100071216</v>
      </c>
      <c r="G30" s="78">
        <f t="shared" si="3"/>
        <v>92.839073866361019</v>
      </c>
      <c r="H30" s="78">
        <f t="shared" si="3"/>
        <v>9.287772998557152</v>
      </c>
      <c r="I30" s="78">
        <f t="shared" si="3"/>
        <v>3.2669140289770811E-2</v>
      </c>
      <c r="J30" s="78">
        <f t="shared" si="3"/>
        <v>3.5347109950011141E-2</v>
      </c>
      <c r="K30" s="78">
        <f t="shared" si="3"/>
        <v>21.739699755390951</v>
      </c>
      <c r="L30" s="78">
        <f t="shared" si="3"/>
        <v>2.6084370799388665</v>
      </c>
      <c r="M30" s="78">
        <f t="shared" si="3"/>
        <v>21.401359345101927</v>
      </c>
      <c r="N30" s="78">
        <f t="shared" si="3"/>
        <v>83.094140478244228</v>
      </c>
      <c r="O30" s="78">
        <f t="shared" si="3"/>
        <v>1.5303594349040991E-2</v>
      </c>
      <c r="P30" s="78">
        <f t="shared" si="3"/>
        <v>3.6852038305536357E-2</v>
      </c>
      <c r="Q30" s="78">
        <f t="shared" si="3"/>
        <v>1.8540863959471685</v>
      </c>
      <c r="R30" s="78">
        <f t="shared" si="3"/>
        <v>34.476342349764742</v>
      </c>
      <c r="S30" s="78">
        <f t="shared" si="3"/>
        <v>132.22453125901663</v>
      </c>
      <c r="T30" s="78">
        <f t="shared" si="3"/>
        <v>3.6017919782443637</v>
      </c>
      <c r="U30" s="78">
        <f t="shared" si="3"/>
        <v>3.0916309317546006E-2</v>
      </c>
      <c r="V30" s="78">
        <f t="shared" si="3"/>
        <v>4.2587450136054278E-2</v>
      </c>
      <c r="W30" s="78">
        <f t="shared" si="3"/>
        <v>48.79062316768367</v>
      </c>
      <c r="X30" s="78">
        <f t="shared" si="3"/>
        <v>1.6352925787704842</v>
      </c>
    </row>
    <row r="32" spans="1:24" x14ac:dyDescent="0.25">
      <c r="B32" s="25"/>
      <c r="C32" s="17" t="s">
        <v>79</v>
      </c>
      <c r="D32" s="17" t="s">
        <v>80</v>
      </c>
      <c r="E32" s="18" t="s">
        <v>81</v>
      </c>
      <c r="F32" s="18" t="s">
        <v>82</v>
      </c>
      <c r="G32" s="18" t="s">
        <v>83</v>
      </c>
      <c r="H32" s="17" t="s">
        <v>84</v>
      </c>
      <c r="I32" s="17" t="s">
        <v>85</v>
      </c>
      <c r="J32" s="17" t="s">
        <v>86</v>
      </c>
      <c r="K32" s="17" t="s">
        <v>87</v>
      </c>
      <c r="L32" s="17" t="s">
        <v>85</v>
      </c>
      <c r="M32" s="17" t="s">
        <v>88</v>
      </c>
      <c r="N32" s="17" t="s">
        <v>89</v>
      </c>
      <c r="O32" s="17" t="s">
        <v>90</v>
      </c>
      <c r="P32" s="17" t="s">
        <v>91</v>
      </c>
      <c r="Q32" s="17" t="s">
        <v>92</v>
      </c>
      <c r="R32" s="17" t="s">
        <v>93</v>
      </c>
      <c r="S32" s="17" t="s">
        <v>94</v>
      </c>
      <c r="T32" s="17" t="s">
        <v>95</v>
      </c>
      <c r="U32" s="17" t="s">
        <v>96</v>
      </c>
      <c r="V32" s="17" t="s">
        <v>97</v>
      </c>
      <c r="W32" s="17" t="s">
        <v>98</v>
      </c>
      <c r="X32" s="17" t="s">
        <v>99</v>
      </c>
    </row>
    <row r="33" spans="2:24" x14ac:dyDescent="0.25">
      <c r="B33" s="26" t="s">
        <v>72</v>
      </c>
      <c r="C33" s="13">
        <v>16.254999999999999</v>
      </c>
      <c r="D33" s="13">
        <v>3.6636363636363641E-2</v>
      </c>
      <c r="E33" s="13">
        <v>37</v>
      </c>
      <c r="F33" s="13">
        <v>4.7554545454545458</v>
      </c>
      <c r="G33" s="13">
        <v>123.81818181818181</v>
      </c>
      <c r="H33" s="13">
        <v>10.427272727272728</v>
      </c>
      <c r="I33" s="13">
        <v>6.718181818181819E-2</v>
      </c>
      <c r="J33" s="13">
        <v>0.15745454545454549</v>
      </c>
      <c r="K33" s="13">
        <v>30.86363636363636</v>
      </c>
      <c r="L33" s="13">
        <v>1.3701818181818182</v>
      </c>
      <c r="M33" s="13">
        <v>60.909090909090907</v>
      </c>
      <c r="N33" s="13">
        <v>133.82727272727271</v>
      </c>
      <c r="O33" s="13">
        <v>3.2636363636363644E-2</v>
      </c>
      <c r="P33" s="13">
        <v>0.15972727272727275</v>
      </c>
      <c r="Q33" s="13">
        <v>2.1727272727272724</v>
      </c>
      <c r="R33" s="13">
        <v>48.090909090909093</v>
      </c>
      <c r="S33" s="13">
        <v>126.52727272727272</v>
      </c>
      <c r="T33" s="13">
        <v>4.6618181818181812</v>
      </c>
      <c r="U33" s="13">
        <v>7.9909090909090916E-2</v>
      </c>
      <c r="V33" s="13">
        <v>0.15163636363636362</v>
      </c>
      <c r="W33" s="13">
        <v>28.09090909090909</v>
      </c>
      <c r="X33" s="13">
        <v>2.5181818181818181</v>
      </c>
    </row>
    <row r="34" spans="2:24" x14ac:dyDescent="0.25">
      <c r="B34" s="27" t="s">
        <v>73</v>
      </c>
      <c r="C34" s="28">
        <v>16.835000000000001</v>
      </c>
      <c r="D34" s="28">
        <v>3.6000000000000004E-2</v>
      </c>
      <c r="E34" s="28">
        <v>32</v>
      </c>
      <c r="F34" s="28">
        <v>4.3963636363636374</v>
      </c>
      <c r="G34" s="28">
        <v>120.68181818181819</v>
      </c>
      <c r="H34" s="28">
        <v>13.35</v>
      </c>
      <c r="I34" s="28">
        <v>5.1454545454545461E-2</v>
      </c>
      <c r="J34" s="28">
        <v>0.14827272727272731</v>
      </c>
      <c r="K34" s="28">
        <v>27.563636363636363</v>
      </c>
      <c r="L34" s="28">
        <v>2.3260000000000001</v>
      </c>
      <c r="M34" s="28">
        <v>54.727272727272727</v>
      </c>
      <c r="N34" s="28">
        <v>148.52727272727273</v>
      </c>
      <c r="O34" s="28">
        <v>2.9000000000000012E-2</v>
      </c>
      <c r="P34" s="28">
        <v>0.16745454545454549</v>
      </c>
      <c r="Q34" s="28">
        <v>2.8181818181818183</v>
      </c>
      <c r="R34" s="28">
        <v>45.727272727272727</v>
      </c>
      <c r="S34" s="28">
        <v>138.5</v>
      </c>
      <c r="T34" s="28">
        <v>4.8463636363636367</v>
      </c>
      <c r="U34" s="28">
        <v>4.4727272727272727E-2</v>
      </c>
      <c r="V34" s="28">
        <v>0.15790909090909092</v>
      </c>
      <c r="W34" s="28">
        <v>35.390909090909091</v>
      </c>
      <c r="X34" s="28">
        <v>2.4272727272727268</v>
      </c>
    </row>
    <row r="36" spans="2:24" x14ac:dyDescent="0.25">
      <c r="B36" s="25"/>
      <c r="C36" s="17" t="s">
        <v>79</v>
      </c>
      <c r="D36" s="18" t="s">
        <v>82</v>
      </c>
      <c r="F36" s="25"/>
      <c r="G36" s="17" t="s">
        <v>85</v>
      </c>
      <c r="H36" s="17" t="s">
        <v>86</v>
      </c>
      <c r="L36" s="17" t="s">
        <v>85</v>
      </c>
    </row>
    <row r="37" spans="2:24" x14ac:dyDescent="0.25">
      <c r="B37" s="29" t="s">
        <v>129</v>
      </c>
      <c r="C37" s="13">
        <v>16.254999999999999</v>
      </c>
      <c r="D37" s="13">
        <v>4.7554545454545458</v>
      </c>
      <c r="F37" s="29" t="s">
        <v>129</v>
      </c>
      <c r="G37" s="13">
        <v>6.718181818181819E-2</v>
      </c>
      <c r="H37" s="13">
        <v>0.15745454545454549</v>
      </c>
      <c r="L37" s="13">
        <v>1.3701818181818182</v>
      </c>
    </row>
    <row r="38" spans="2:24" x14ac:dyDescent="0.25">
      <c r="B38" s="30" t="s">
        <v>130</v>
      </c>
      <c r="C38" s="28">
        <v>16.835000000000001</v>
      </c>
      <c r="D38" s="28">
        <v>4.3963636363636374</v>
      </c>
      <c r="F38" s="30" t="s">
        <v>130</v>
      </c>
      <c r="G38" s="28">
        <v>5.1454545454545461E-2</v>
      </c>
      <c r="H38" s="28">
        <v>0.14827272727272731</v>
      </c>
      <c r="L38" s="28">
        <v>2.3260000000000001</v>
      </c>
    </row>
    <row r="41" spans="2:24" x14ac:dyDescent="0.25">
      <c r="D41" s="25"/>
      <c r="E41" s="18" t="s">
        <v>81</v>
      </c>
      <c r="H41" s="25"/>
      <c r="I41" s="18" t="s">
        <v>83</v>
      </c>
      <c r="J41" s="17" t="s">
        <v>84</v>
      </c>
      <c r="K41" s="17" t="s">
        <v>87</v>
      </c>
    </row>
    <row r="42" spans="2:24" x14ac:dyDescent="0.25">
      <c r="D42" s="29" t="s">
        <v>129</v>
      </c>
      <c r="E42" s="13">
        <v>37</v>
      </c>
      <c r="H42" s="29" t="s">
        <v>129</v>
      </c>
      <c r="I42" s="13">
        <v>123.81818181818181</v>
      </c>
      <c r="J42" s="13">
        <v>10.427272727272728</v>
      </c>
      <c r="K42" s="13">
        <v>30.86363636363636</v>
      </c>
    </row>
    <row r="43" spans="2:24" x14ac:dyDescent="0.25">
      <c r="D43" s="30" t="s">
        <v>130</v>
      </c>
      <c r="E43" s="28">
        <v>32</v>
      </c>
      <c r="H43" s="30" t="s">
        <v>130</v>
      </c>
      <c r="I43" s="28">
        <v>120.68181818181819</v>
      </c>
      <c r="J43" s="28">
        <v>13.35</v>
      </c>
      <c r="K43" s="28">
        <v>27.563636363636363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32"/>
  <sheetViews>
    <sheetView topLeftCell="A8" workbookViewId="0">
      <selection activeCell="G21" sqref="G21"/>
    </sheetView>
  </sheetViews>
  <sheetFormatPr baseColWidth="10" defaultRowHeight="15" x14ac:dyDescent="0.25"/>
  <cols>
    <col min="2" max="2" width="17.42578125" customWidth="1"/>
  </cols>
  <sheetData>
    <row r="2" spans="1:24" x14ac:dyDescent="0.25">
      <c r="B2" s="17" t="s">
        <v>133</v>
      </c>
      <c r="C2" s="17" t="s">
        <v>79</v>
      </c>
      <c r="D2" s="17" t="s">
        <v>80</v>
      </c>
      <c r="E2" s="18" t="s">
        <v>81</v>
      </c>
      <c r="F2" s="18" t="s">
        <v>82</v>
      </c>
      <c r="G2" s="18" t="s">
        <v>83</v>
      </c>
      <c r="H2" s="17" t="s">
        <v>84</v>
      </c>
      <c r="I2" s="17" t="s">
        <v>85</v>
      </c>
      <c r="J2" s="17" t="s">
        <v>86</v>
      </c>
      <c r="K2" s="17" t="s">
        <v>87</v>
      </c>
      <c r="L2" s="17" t="s">
        <v>85</v>
      </c>
      <c r="M2" s="17" t="s">
        <v>88</v>
      </c>
      <c r="N2" s="17" t="s">
        <v>89</v>
      </c>
      <c r="O2" s="17" t="s">
        <v>90</v>
      </c>
      <c r="P2" s="17" t="s">
        <v>91</v>
      </c>
      <c r="Q2" s="17" t="s">
        <v>92</v>
      </c>
      <c r="R2" s="17" t="s">
        <v>93</v>
      </c>
      <c r="S2" s="17" t="s">
        <v>94</v>
      </c>
      <c r="T2" s="17" t="s">
        <v>95</v>
      </c>
      <c r="U2" s="17" t="s">
        <v>96</v>
      </c>
      <c r="V2" s="17" t="s">
        <v>97</v>
      </c>
      <c r="W2" s="17" t="s">
        <v>98</v>
      </c>
      <c r="X2" s="17" t="s">
        <v>99</v>
      </c>
    </row>
    <row r="3" spans="1:24" x14ac:dyDescent="0.25">
      <c r="A3">
        <v>1</v>
      </c>
      <c r="B3" s="65" t="s">
        <v>135</v>
      </c>
      <c r="C3" s="63">
        <v>26.45</v>
      </c>
      <c r="D3" s="19">
        <v>4.5999999999999999E-2</v>
      </c>
      <c r="E3" s="21">
        <v>32</v>
      </c>
      <c r="F3" s="19">
        <v>3.86</v>
      </c>
      <c r="G3" s="19">
        <v>46.6</v>
      </c>
      <c r="H3" s="19">
        <v>8</v>
      </c>
      <c r="I3" s="19">
        <v>8.3000000000000004E-2</v>
      </c>
      <c r="J3" s="64">
        <v>0.19</v>
      </c>
      <c r="K3" s="19">
        <v>9.6</v>
      </c>
      <c r="L3" s="19">
        <v>1.5</v>
      </c>
      <c r="M3" s="19">
        <v>82</v>
      </c>
      <c r="N3" s="19">
        <v>168.3</v>
      </c>
      <c r="O3" s="19">
        <v>3.9E-2</v>
      </c>
      <c r="P3" s="64">
        <v>0.27900000000000003</v>
      </c>
      <c r="Q3" s="19">
        <v>2.1</v>
      </c>
      <c r="R3" s="19">
        <v>25</v>
      </c>
      <c r="S3" s="19">
        <v>23</v>
      </c>
      <c r="T3" s="19">
        <v>1.86</v>
      </c>
      <c r="U3" s="19">
        <v>8.1000000000000003E-2</v>
      </c>
      <c r="V3" s="19">
        <v>0.20599999999999999</v>
      </c>
      <c r="W3" s="19">
        <v>3.1</v>
      </c>
      <c r="X3" s="19">
        <v>0.9</v>
      </c>
    </row>
    <row r="4" spans="1:24" x14ac:dyDescent="0.25">
      <c r="A4">
        <v>2</v>
      </c>
      <c r="B4" s="65" t="s">
        <v>136</v>
      </c>
      <c r="C4" s="21">
        <v>17.03</v>
      </c>
      <c r="D4" s="19">
        <v>2.8000000000000001E-2</v>
      </c>
      <c r="E4" s="21">
        <v>13</v>
      </c>
      <c r="F4" s="19">
        <v>2.44</v>
      </c>
      <c r="G4" s="19">
        <v>55.5</v>
      </c>
      <c r="H4" s="19">
        <v>44.9</v>
      </c>
      <c r="I4" s="19">
        <v>4.3999999999999997E-2</v>
      </c>
      <c r="J4" s="64">
        <v>0.182</v>
      </c>
      <c r="K4" s="19">
        <v>27.1</v>
      </c>
      <c r="L4" s="19">
        <v>4.3</v>
      </c>
      <c r="M4" s="19">
        <v>54</v>
      </c>
      <c r="N4" s="19">
        <v>67.400000000000006</v>
      </c>
      <c r="O4" s="19">
        <v>7.0000000000000007E-2</v>
      </c>
      <c r="P4" s="64">
        <v>0.28599999999999998</v>
      </c>
      <c r="Q4" s="19">
        <v>1.2</v>
      </c>
      <c r="R4" s="19">
        <v>26</v>
      </c>
      <c r="S4" s="19">
        <v>38.5</v>
      </c>
      <c r="T4" s="19">
        <v>2</v>
      </c>
      <c r="U4" s="19">
        <v>5.1999999999999998E-2</v>
      </c>
      <c r="V4" s="19">
        <v>0.245</v>
      </c>
      <c r="W4" s="19">
        <v>18.600000000000001</v>
      </c>
      <c r="X4" s="19">
        <v>1.5</v>
      </c>
    </row>
    <row r="5" spans="1:24" x14ac:dyDescent="0.25">
      <c r="A5">
        <v>3</v>
      </c>
      <c r="B5" s="65" t="s">
        <v>137</v>
      </c>
      <c r="C5" s="21">
        <v>15.23</v>
      </c>
      <c r="D5" s="19">
        <v>2.5000000000000001E-2</v>
      </c>
      <c r="E5" s="21">
        <v>1</v>
      </c>
      <c r="F5" s="19">
        <v>0.31</v>
      </c>
      <c r="G5" s="19">
        <v>1.3</v>
      </c>
      <c r="H5" s="19">
        <v>53.9</v>
      </c>
      <c r="I5" s="19">
        <v>0.24</v>
      </c>
      <c r="J5" s="64">
        <v>0.24099999999999999</v>
      </c>
      <c r="K5" s="19">
        <v>1.3</v>
      </c>
      <c r="L5" s="19">
        <v>1.3</v>
      </c>
      <c r="M5" s="19">
        <v>72</v>
      </c>
      <c r="N5" s="19">
        <v>101</v>
      </c>
      <c r="O5" s="19">
        <v>3.9E-2</v>
      </c>
      <c r="P5" s="64">
        <v>0.22800000000000001</v>
      </c>
      <c r="Q5" s="19">
        <v>1.4</v>
      </c>
      <c r="R5" s="19">
        <v>40</v>
      </c>
      <c r="S5" s="19">
        <v>111.3</v>
      </c>
      <c r="T5" s="19">
        <v>3.03</v>
      </c>
      <c r="U5" s="19">
        <v>2.7E-2</v>
      </c>
      <c r="V5" s="19">
        <v>0.20399999999999999</v>
      </c>
      <c r="W5" s="19">
        <v>27</v>
      </c>
      <c r="X5" s="19">
        <v>2.8</v>
      </c>
    </row>
    <row r="6" spans="1:24" x14ac:dyDescent="0.25">
      <c r="A6">
        <v>4</v>
      </c>
      <c r="B6" s="65" t="s">
        <v>138</v>
      </c>
      <c r="C6" s="21">
        <v>13.02</v>
      </c>
      <c r="D6" s="19">
        <v>2.1999999999999999E-2</v>
      </c>
      <c r="E6" s="21">
        <v>8</v>
      </c>
      <c r="F6" s="19">
        <v>1.19</v>
      </c>
      <c r="G6" s="19">
        <v>172.6</v>
      </c>
      <c r="H6" s="19">
        <v>43</v>
      </c>
      <c r="I6" s="19">
        <v>7.0000000000000001E-3</v>
      </c>
      <c r="J6" s="64">
        <v>0.28299999999999997</v>
      </c>
      <c r="K6" s="19">
        <v>121.2</v>
      </c>
      <c r="L6" s="19">
        <v>21.6</v>
      </c>
      <c r="M6" s="19">
        <v>16</v>
      </c>
      <c r="N6" s="19">
        <v>297.8</v>
      </c>
      <c r="O6" s="19">
        <v>1.7999999999999999E-2</v>
      </c>
      <c r="P6" s="64">
        <v>0.27900000000000003</v>
      </c>
      <c r="Q6" s="19">
        <v>18.600000000000001</v>
      </c>
      <c r="R6" s="19">
        <v>4</v>
      </c>
      <c r="S6" s="19">
        <v>22.3</v>
      </c>
      <c r="T6" s="19">
        <v>1.29</v>
      </c>
      <c r="U6" s="19">
        <v>5.8000000000000003E-2</v>
      </c>
      <c r="V6" s="19">
        <v>0.19900000000000001</v>
      </c>
      <c r="W6" s="19">
        <v>12</v>
      </c>
      <c r="X6" s="19">
        <v>5.6</v>
      </c>
    </row>
    <row r="7" spans="1:24" x14ac:dyDescent="0.25">
      <c r="A7">
        <v>5</v>
      </c>
      <c r="B7" s="65" t="s">
        <v>43</v>
      </c>
      <c r="C7" s="21">
        <v>24.61</v>
      </c>
      <c r="D7" s="19">
        <v>4.1000000000000002E-2</v>
      </c>
      <c r="E7" s="21">
        <v>34</v>
      </c>
      <c r="F7" s="19">
        <v>4.7699999999999996</v>
      </c>
      <c r="G7" s="19">
        <v>168.4</v>
      </c>
      <c r="H7" s="19">
        <v>4.3</v>
      </c>
      <c r="I7" s="19">
        <v>2.8000000000000001E-2</v>
      </c>
      <c r="J7" s="64">
        <v>0.126</v>
      </c>
      <c r="K7" s="19">
        <v>100.5</v>
      </c>
      <c r="L7" s="19">
        <v>5</v>
      </c>
      <c r="M7" s="19">
        <v>53</v>
      </c>
      <c r="N7" s="19">
        <v>163.69999999999999</v>
      </c>
      <c r="O7" s="19">
        <v>3.7999999999999999E-2</v>
      </c>
      <c r="P7" s="64">
        <v>0.14299999999999999</v>
      </c>
      <c r="Q7" s="19">
        <v>3.1</v>
      </c>
      <c r="R7" s="19">
        <v>83</v>
      </c>
      <c r="S7" s="19">
        <v>268</v>
      </c>
      <c r="T7" s="19">
        <v>13.66</v>
      </c>
      <c r="U7" s="19">
        <v>5.0999999999999997E-2</v>
      </c>
      <c r="V7" s="19">
        <v>0.152</v>
      </c>
      <c r="W7" s="19">
        <v>22</v>
      </c>
      <c r="X7" s="19">
        <v>3.2</v>
      </c>
    </row>
    <row r="8" spans="1:24" x14ac:dyDescent="0.25">
      <c r="A8">
        <v>6</v>
      </c>
      <c r="B8" s="65" t="s">
        <v>44</v>
      </c>
      <c r="C8" s="21">
        <v>21.91</v>
      </c>
      <c r="D8" s="19">
        <v>3.6999999999999998E-2</v>
      </c>
      <c r="E8" s="19">
        <v>60</v>
      </c>
      <c r="F8" s="19">
        <v>7.37</v>
      </c>
      <c r="G8" s="19">
        <v>152.80000000000001</v>
      </c>
      <c r="H8" s="19">
        <v>6.1</v>
      </c>
      <c r="I8" s="19">
        <v>4.8000000000000001E-2</v>
      </c>
      <c r="J8" s="64">
        <v>0.308</v>
      </c>
      <c r="K8" s="19">
        <v>12.3</v>
      </c>
      <c r="L8" s="65" t="s">
        <v>145</v>
      </c>
      <c r="M8" s="19">
        <v>32</v>
      </c>
      <c r="N8" s="19">
        <v>156.6</v>
      </c>
      <c r="O8" s="19">
        <v>2.8000000000000001E-2</v>
      </c>
      <c r="P8" s="64">
        <v>0.14099999999999999</v>
      </c>
      <c r="Q8" s="19">
        <v>4.9000000000000004</v>
      </c>
      <c r="R8" s="19">
        <v>83</v>
      </c>
      <c r="S8" s="19">
        <v>290.60000000000002</v>
      </c>
      <c r="T8" s="19">
        <v>10.14</v>
      </c>
      <c r="U8" s="19">
        <v>3.5000000000000003E-2</v>
      </c>
      <c r="V8" s="19">
        <v>0.313</v>
      </c>
      <c r="W8" s="19">
        <v>43</v>
      </c>
      <c r="X8" s="19">
        <v>3.5</v>
      </c>
    </row>
    <row r="9" spans="1:24" x14ac:dyDescent="0.25">
      <c r="A9">
        <v>7</v>
      </c>
      <c r="B9" s="65" t="s">
        <v>45</v>
      </c>
      <c r="C9" s="21">
        <v>31.41</v>
      </c>
      <c r="D9" s="19">
        <v>5.1999999999999998E-2</v>
      </c>
      <c r="E9" s="19">
        <v>70</v>
      </c>
      <c r="F9" s="19">
        <v>12.11</v>
      </c>
      <c r="G9" s="19">
        <v>190.8</v>
      </c>
      <c r="H9" s="19">
        <v>16</v>
      </c>
      <c r="I9" s="19">
        <v>6.3E-2</v>
      </c>
      <c r="J9" s="64">
        <v>0.2</v>
      </c>
      <c r="K9" s="19">
        <v>15.2</v>
      </c>
      <c r="L9" s="19">
        <v>2.7</v>
      </c>
      <c r="M9" s="19">
        <v>52</v>
      </c>
      <c r="N9" s="19">
        <v>133.19999999999999</v>
      </c>
      <c r="O9" s="19">
        <v>3.6999999999999998E-2</v>
      </c>
      <c r="P9" s="64">
        <v>0.189</v>
      </c>
      <c r="Q9" s="19">
        <v>2.6</v>
      </c>
      <c r="R9" s="19">
        <v>104</v>
      </c>
      <c r="S9" s="19">
        <v>276.10000000000002</v>
      </c>
      <c r="T9" s="19">
        <v>14.33</v>
      </c>
      <c r="U9" s="19">
        <v>5.1999999999999998E-2</v>
      </c>
      <c r="V9" s="19">
        <v>0.19900000000000001</v>
      </c>
      <c r="W9" s="19">
        <v>31.9</v>
      </c>
      <c r="X9" s="19">
        <v>2.7</v>
      </c>
    </row>
    <row r="10" spans="1:24" x14ac:dyDescent="0.25">
      <c r="A10">
        <v>8</v>
      </c>
      <c r="B10" s="66" t="s">
        <v>19</v>
      </c>
      <c r="C10" s="67">
        <v>32.159999999999997</v>
      </c>
      <c r="D10" s="19">
        <v>5.3999999999999999E-2</v>
      </c>
      <c r="E10" s="19">
        <v>22</v>
      </c>
      <c r="F10" s="19">
        <v>4.38</v>
      </c>
      <c r="G10" s="19">
        <v>63.2</v>
      </c>
      <c r="H10" s="19">
        <v>0</v>
      </c>
      <c r="I10" s="19">
        <v>6.9000000000000006E-2</v>
      </c>
      <c r="J10" s="64">
        <v>0.19400000000000001</v>
      </c>
      <c r="K10" s="19">
        <v>11.3</v>
      </c>
      <c r="L10" s="19">
        <v>2.9</v>
      </c>
      <c r="M10" s="19">
        <v>63</v>
      </c>
      <c r="N10" s="19">
        <v>116.2</v>
      </c>
      <c r="O10" s="64">
        <v>0.05</v>
      </c>
      <c r="P10" s="64">
        <v>0.24299999999999999</v>
      </c>
      <c r="Q10" s="19">
        <v>1.8</v>
      </c>
      <c r="R10" s="19">
        <v>56</v>
      </c>
      <c r="S10" s="19">
        <v>143.30000000000001</v>
      </c>
      <c r="T10" s="19">
        <v>7.72</v>
      </c>
      <c r="U10" s="19">
        <v>5.3999999999999999E-2</v>
      </c>
      <c r="V10" s="19">
        <v>0.29899999999999999</v>
      </c>
      <c r="W10" s="19">
        <v>29.5</v>
      </c>
      <c r="X10" s="19">
        <v>2.6</v>
      </c>
    </row>
    <row r="11" spans="1:24" x14ac:dyDescent="0.25">
      <c r="A11">
        <v>9</v>
      </c>
      <c r="B11" s="65" t="s">
        <v>144</v>
      </c>
      <c r="C11" s="21">
        <v>36.799999999999997</v>
      </c>
      <c r="D11" s="19">
        <v>6.0999999999999999E-2</v>
      </c>
      <c r="E11" s="19">
        <v>22</v>
      </c>
      <c r="F11" s="19">
        <v>3.6</v>
      </c>
      <c r="G11" s="19">
        <v>38.6</v>
      </c>
      <c r="H11" s="19">
        <v>0</v>
      </c>
      <c r="I11" s="19">
        <v>9.2999999999999999E-2</v>
      </c>
      <c r="J11" s="64">
        <v>0.23699999999999999</v>
      </c>
      <c r="K11" s="19">
        <v>7.1</v>
      </c>
      <c r="L11" s="19">
        <v>1.8</v>
      </c>
      <c r="M11" s="19">
        <v>98</v>
      </c>
      <c r="N11" s="19">
        <v>147.4</v>
      </c>
      <c r="O11" s="64">
        <v>0.05</v>
      </c>
      <c r="P11" s="64">
        <v>0.23799999999999999</v>
      </c>
      <c r="Q11" s="19">
        <v>1.5</v>
      </c>
      <c r="R11" s="19">
        <v>70</v>
      </c>
      <c r="S11" s="19">
        <v>128.6</v>
      </c>
      <c r="T11" s="19">
        <v>7.79</v>
      </c>
      <c r="U11" s="19">
        <v>6.0999999999999999E-2</v>
      </c>
      <c r="V11" s="19">
        <v>0.223</v>
      </c>
      <c r="W11" s="19">
        <v>11.4</v>
      </c>
      <c r="X11" s="19">
        <v>1.8</v>
      </c>
    </row>
    <row r="12" spans="1:24" x14ac:dyDescent="0.25">
      <c r="A12">
        <v>10</v>
      </c>
      <c r="B12" s="65" t="s">
        <v>21</v>
      </c>
      <c r="C12" s="21">
        <v>39.5</v>
      </c>
      <c r="D12" s="19">
        <v>6.6000000000000003E-2</v>
      </c>
      <c r="E12" s="19">
        <v>28</v>
      </c>
      <c r="F12" s="19">
        <v>5.43</v>
      </c>
      <c r="G12" s="19">
        <v>56.6</v>
      </c>
      <c r="H12" s="19">
        <v>32.200000000000003</v>
      </c>
      <c r="I12" s="19">
        <v>9.6000000000000002E-2</v>
      </c>
      <c r="J12" s="64">
        <v>0.23100000000000001</v>
      </c>
      <c r="K12" s="19">
        <v>5.5</v>
      </c>
      <c r="L12" s="19">
        <v>2</v>
      </c>
      <c r="M12" s="19">
        <v>77</v>
      </c>
      <c r="N12" s="19">
        <v>112.2</v>
      </c>
      <c r="O12" s="64">
        <v>6.5000000000000002E-2</v>
      </c>
      <c r="P12" s="64">
        <v>0.248</v>
      </c>
      <c r="Q12" s="19">
        <v>1.5</v>
      </c>
      <c r="R12" s="19">
        <v>52</v>
      </c>
      <c r="S12" s="19">
        <v>118.8</v>
      </c>
      <c r="T12" s="19">
        <v>8.68</v>
      </c>
      <c r="U12" s="19">
        <v>7.2999999999999995E-2</v>
      </c>
      <c r="V12" s="19">
        <v>0.23499999999999999</v>
      </c>
      <c r="W12" s="19">
        <v>17.100000000000001</v>
      </c>
      <c r="X12" s="19">
        <v>2.2999999999999998</v>
      </c>
    </row>
    <row r="13" spans="1:24" x14ac:dyDescent="0.25">
      <c r="B13" s="17" t="s">
        <v>128</v>
      </c>
      <c r="C13" s="69">
        <f>AVERAGE(C3:C12)</f>
        <v>25.812000000000001</v>
      </c>
      <c r="D13" s="69">
        <f t="shared" ref="D13:X13" si="0">AVERAGE(D3:D12)</f>
        <v>4.3200000000000002E-2</v>
      </c>
      <c r="E13" s="69">
        <f t="shared" si="0"/>
        <v>29</v>
      </c>
      <c r="F13" s="69">
        <f t="shared" si="0"/>
        <v>4.5460000000000003</v>
      </c>
      <c r="G13" s="69">
        <f t="shared" si="0"/>
        <v>94.640000000000015</v>
      </c>
      <c r="H13" s="69">
        <f t="shared" si="0"/>
        <v>20.840000000000003</v>
      </c>
      <c r="I13" s="69">
        <f t="shared" si="0"/>
        <v>7.7100000000000002E-2</v>
      </c>
      <c r="J13" s="69">
        <f t="shared" si="0"/>
        <v>0.21919999999999998</v>
      </c>
      <c r="K13" s="69">
        <f t="shared" si="0"/>
        <v>31.110000000000003</v>
      </c>
      <c r="L13" s="69">
        <f t="shared" si="0"/>
        <v>4.7888888888888888</v>
      </c>
      <c r="M13" s="69">
        <f t="shared" si="0"/>
        <v>59.9</v>
      </c>
      <c r="N13" s="69">
        <f t="shared" si="0"/>
        <v>146.38000000000002</v>
      </c>
      <c r="O13" s="69">
        <f t="shared" si="0"/>
        <v>4.3400000000000001E-2</v>
      </c>
      <c r="P13" s="69">
        <f t="shared" si="0"/>
        <v>0.22739999999999999</v>
      </c>
      <c r="Q13" s="69">
        <f t="shared" si="0"/>
        <v>3.87</v>
      </c>
      <c r="R13" s="69">
        <f t="shared" si="0"/>
        <v>54.3</v>
      </c>
      <c r="S13" s="69">
        <f t="shared" si="0"/>
        <v>142.05000000000001</v>
      </c>
      <c r="T13" s="69">
        <f t="shared" si="0"/>
        <v>7.05</v>
      </c>
      <c r="U13" s="69">
        <f t="shared" si="0"/>
        <v>5.4400000000000004E-2</v>
      </c>
      <c r="V13" s="69">
        <f t="shared" si="0"/>
        <v>0.22749999999999995</v>
      </c>
      <c r="W13" s="69">
        <f t="shared" si="0"/>
        <v>21.56</v>
      </c>
      <c r="X13" s="69">
        <f t="shared" si="0"/>
        <v>2.6900000000000004</v>
      </c>
    </row>
    <row r="14" spans="1:24" x14ac:dyDescent="0.25">
      <c r="B14" s="79" t="s">
        <v>148</v>
      </c>
      <c r="C14" s="22">
        <f>_xlfn.STDEV.S(C3:C12)</f>
        <v>9.1259529791566312</v>
      </c>
      <c r="D14" s="22">
        <f t="shared" ref="D14:X14" si="1">_xlfn.STDEV.S(D3:D12)</f>
        <v>1.5251957979952015E-2</v>
      </c>
      <c r="E14" s="22">
        <f t="shared" si="1"/>
        <v>21.746008573733455</v>
      </c>
      <c r="F14" s="22">
        <f t="shared" si="1"/>
        <v>3.3508778286028598</v>
      </c>
      <c r="G14" s="22">
        <f t="shared" si="1"/>
        <v>68.536903279263441</v>
      </c>
      <c r="H14" s="22">
        <f t="shared" si="1"/>
        <v>20.655115051187142</v>
      </c>
      <c r="I14" s="22">
        <f t="shared" si="1"/>
        <v>6.386870212483664E-2</v>
      </c>
      <c r="J14" s="22">
        <f t="shared" si="1"/>
        <v>5.2507777201731533E-2</v>
      </c>
      <c r="K14" s="22">
        <f t="shared" si="1"/>
        <v>42.85674976010197</v>
      </c>
      <c r="L14" s="22">
        <f t="shared" si="1"/>
        <v>6.4277609718401241</v>
      </c>
      <c r="M14" s="22">
        <f t="shared" si="1"/>
        <v>24.126748641290234</v>
      </c>
      <c r="N14" s="22">
        <f t="shared" si="1"/>
        <v>61.791743425441169</v>
      </c>
      <c r="O14" s="22">
        <f t="shared" si="1"/>
        <v>1.581981879373676E-2</v>
      </c>
      <c r="P14" s="22">
        <f t="shared" si="1"/>
        <v>5.3335833274742242E-2</v>
      </c>
      <c r="Q14" s="22">
        <f t="shared" si="1"/>
        <v>5.292772850259535</v>
      </c>
      <c r="R14" s="22">
        <f t="shared" si="1"/>
        <v>31.209151079629049</v>
      </c>
      <c r="S14" s="22">
        <f t="shared" si="1"/>
        <v>103.71117211864029</v>
      </c>
      <c r="T14" s="22">
        <f t="shared" si="1"/>
        <v>4.8496116683022512</v>
      </c>
      <c r="U14" s="22">
        <f t="shared" si="1"/>
        <v>1.5847888047167517E-2</v>
      </c>
      <c r="V14" s="22">
        <f t="shared" si="1"/>
        <v>4.8470495034494201E-2</v>
      </c>
      <c r="W14" s="22">
        <f t="shared" si="1"/>
        <v>11.659350086709141</v>
      </c>
      <c r="X14" s="22">
        <f t="shared" si="1"/>
        <v>1.2896597311780427</v>
      </c>
    </row>
    <row r="15" spans="1:24" x14ac:dyDescent="0.25">
      <c r="B15" s="19"/>
      <c r="C15" s="23"/>
      <c r="D15" s="19"/>
      <c r="E15" s="19"/>
      <c r="F15" s="19"/>
      <c r="G15" s="19"/>
      <c r="H15" s="19"/>
      <c r="I15" s="19"/>
      <c r="J15" s="64"/>
      <c r="K15" s="19"/>
      <c r="L15" s="19"/>
      <c r="M15" s="19"/>
      <c r="N15" s="19"/>
      <c r="O15" s="19"/>
      <c r="P15" s="64"/>
      <c r="Q15" s="19"/>
      <c r="R15" s="19"/>
      <c r="S15" s="19"/>
      <c r="T15" s="19"/>
      <c r="U15" s="19"/>
      <c r="V15" s="19"/>
      <c r="W15" s="19"/>
      <c r="X15" s="19"/>
    </row>
    <row r="16" spans="1:24" x14ac:dyDescent="0.25">
      <c r="B16" s="17" t="s">
        <v>134</v>
      </c>
      <c r="C16" s="23"/>
      <c r="D16" s="19"/>
      <c r="E16" s="19"/>
      <c r="F16" s="19"/>
      <c r="G16" s="19"/>
      <c r="H16" s="19"/>
      <c r="I16" s="19"/>
      <c r="J16" s="64"/>
      <c r="K16" s="19"/>
      <c r="L16" s="19"/>
      <c r="M16" s="19"/>
      <c r="N16" s="19"/>
      <c r="O16" s="19"/>
      <c r="P16" s="64"/>
      <c r="Q16" s="19"/>
      <c r="R16" s="19"/>
      <c r="S16" s="19"/>
      <c r="T16" s="19"/>
      <c r="U16" s="19"/>
      <c r="V16" s="19"/>
      <c r="W16" s="19"/>
      <c r="X16" s="19"/>
    </row>
    <row r="17" spans="1:24" x14ac:dyDescent="0.25">
      <c r="A17">
        <v>1</v>
      </c>
      <c r="B17" s="65" t="s">
        <v>139</v>
      </c>
      <c r="C17" s="21">
        <v>24.36</v>
      </c>
      <c r="D17" s="19">
        <v>4.1000000000000002E-2</v>
      </c>
      <c r="E17" s="19">
        <v>23</v>
      </c>
      <c r="F17" s="19">
        <v>3.29</v>
      </c>
      <c r="G17" s="19">
        <v>34.6</v>
      </c>
      <c r="H17" s="19">
        <v>4</v>
      </c>
      <c r="I17" s="19">
        <v>9.5000000000000001E-2</v>
      </c>
      <c r="J17" s="64">
        <v>0.19600000000000001</v>
      </c>
      <c r="K17" s="19">
        <v>5.7</v>
      </c>
      <c r="L17" s="19">
        <v>1.5</v>
      </c>
      <c r="M17" s="19">
        <v>100</v>
      </c>
      <c r="N17" s="19">
        <v>232.5</v>
      </c>
      <c r="O17" s="19">
        <v>3.3000000000000002E-2</v>
      </c>
      <c r="P17" s="64">
        <v>0.21199999999999999</v>
      </c>
      <c r="Q17" s="19">
        <v>2.2999999999999998</v>
      </c>
      <c r="R17" s="19">
        <v>38</v>
      </c>
      <c r="S17" s="19">
        <v>54.1</v>
      </c>
      <c r="T17" s="19">
        <v>2.37</v>
      </c>
      <c r="U17" s="19">
        <v>4.3999999999999997E-2</v>
      </c>
      <c r="V17" s="19">
        <v>0.185</v>
      </c>
      <c r="W17" s="19">
        <v>13.5</v>
      </c>
      <c r="X17" s="19">
        <v>1.4</v>
      </c>
    </row>
    <row r="18" spans="1:24" x14ac:dyDescent="0.25">
      <c r="A18">
        <v>2</v>
      </c>
      <c r="B18" s="65" t="s">
        <v>140</v>
      </c>
      <c r="C18" s="21">
        <v>31</v>
      </c>
      <c r="D18" s="19">
        <v>5.1999999999999998E-2</v>
      </c>
      <c r="E18" s="19">
        <v>23</v>
      </c>
      <c r="F18" s="19">
        <v>3.6</v>
      </c>
      <c r="G18" s="19">
        <v>99.4</v>
      </c>
      <c r="H18" s="19">
        <v>0</v>
      </c>
      <c r="I18" s="19">
        <v>3.5999999999999997E-2</v>
      </c>
      <c r="J18" s="64">
        <v>0.189</v>
      </c>
      <c r="K18" s="19">
        <v>73</v>
      </c>
      <c r="L18" s="19">
        <v>4.3</v>
      </c>
      <c r="M18" s="19">
        <v>90</v>
      </c>
      <c r="N18" s="19">
        <v>188.4</v>
      </c>
      <c r="O18" s="19">
        <v>4.7E-2</v>
      </c>
      <c r="P18" s="64">
        <v>0.251</v>
      </c>
      <c r="Q18" s="19">
        <v>2.1</v>
      </c>
      <c r="R18" s="19">
        <v>36</v>
      </c>
      <c r="S18" s="19">
        <v>37.200000000000003</v>
      </c>
      <c r="T18" s="19">
        <v>2.5299999999999998</v>
      </c>
      <c r="U18" s="19">
        <v>6.8000000000000005E-2</v>
      </c>
      <c r="V18" s="19">
        <v>0.219</v>
      </c>
      <c r="W18" s="19">
        <v>5.0999999999999996</v>
      </c>
      <c r="X18" s="19">
        <v>1</v>
      </c>
    </row>
    <row r="19" spans="1:24" x14ac:dyDescent="0.25">
      <c r="A19">
        <v>3</v>
      </c>
      <c r="B19" s="65" t="s">
        <v>141</v>
      </c>
      <c r="C19" s="21">
        <v>32.46</v>
      </c>
      <c r="D19" s="19">
        <v>5.3999999999999999E-2</v>
      </c>
      <c r="E19" s="19">
        <v>23</v>
      </c>
      <c r="F19" s="19">
        <v>3.83</v>
      </c>
      <c r="G19" s="19">
        <v>37.299999999999997</v>
      </c>
      <c r="H19" s="19">
        <v>3.8</v>
      </c>
      <c r="I19" s="19">
        <v>0.10299999999999999</v>
      </c>
      <c r="J19" s="64">
        <v>0.16</v>
      </c>
      <c r="K19" s="19">
        <v>7.7</v>
      </c>
      <c r="L19" s="19">
        <v>1.6</v>
      </c>
      <c r="M19" s="19">
        <v>95</v>
      </c>
      <c r="N19" s="19">
        <v>189.9</v>
      </c>
      <c r="O19" s="19">
        <v>4.3999999999999997E-2</v>
      </c>
      <c r="P19" s="64">
        <v>0.26400000000000001</v>
      </c>
      <c r="Q19" s="19">
        <v>2</v>
      </c>
      <c r="R19" s="19">
        <v>36</v>
      </c>
      <c r="S19" s="19">
        <v>50.2</v>
      </c>
      <c r="T19" s="19">
        <v>2.93</v>
      </c>
      <c r="U19" s="19">
        <v>5.8000000000000003E-2</v>
      </c>
      <c r="V19" s="19">
        <v>0.17699999999999999</v>
      </c>
      <c r="W19" s="19">
        <v>7.7</v>
      </c>
      <c r="X19" s="19">
        <v>1.4</v>
      </c>
    </row>
    <row r="20" spans="1:24" x14ac:dyDescent="0.25">
      <c r="A20">
        <v>4</v>
      </c>
      <c r="B20" s="65" t="s">
        <v>142</v>
      </c>
      <c r="C20" s="21">
        <v>22.39</v>
      </c>
      <c r="D20" s="19">
        <v>3.6999999999999998E-2</v>
      </c>
      <c r="E20" s="19">
        <v>24</v>
      </c>
      <c r="F20" s="19">
        <v>3.57</v>
      </c>
      <c r="G20" s="19">
        <v>72.8</v>
      </c>
      <c r="H20" s="19">
        <v>3.5</v>
      </c>
      <c r="I20" s="19">
        <v>4.9000000000000002E-2</v>
      </c>
      <c r="J20" s="64">
        <v>0.187</v>
      </c>
      <c r="K20" s="19">
        <v>19.899999999999999</v>
      </c>
      <c r="L20" s="19">
        <v>3</v>
      </c>
      <c r="M20" s="19">
        <v>54</v>
      </c>
      <c r="N20" s="19">
        <v>131.30000000000001</v>
      </c>
      <c r="O20" s="19">
        <v>4.2999999999999997E-2</v>
      </c>
      <c r="P20" s="64">
        <v>0.191</v>
      </c>
      <c r="Q20" s="19">
        <v>2.4</v>
      </c>
      <c r="R20" s="19">
        <v>24</v>
      </c>
      <c r="S20" s="19">
        <v>26.1</v>
      </c>
      <c r="T20" s="19">
        <v>1.99</v>
      </c>
      <c r="U20" s="19">
        <v>7.5999999999999998E-2</v>
      </c>
      <c r="V20" s="19">
        <v>0.187</v>
      </c>
      <c r="W20" s="19">
        <v>5.3</v>
      </c>
      <c r="X20" s="19">
        <v>1.1000000000000001</v>
      </c>
    </row>
    <row r="21" spans="1:24" x14ac:dyDescent="0.25">
      <c r="A21">
        <v>5</v>
      </c>
      <c r="B21" s="65" t="s">
        <v>58</v>
      </c>
      <c r="C21" s="21">
        <v>13.51</v>
      </c>
      <c r="D21" s="19">
        <v>2.3E-2</v>
      </c>
      <c r="E21" s="19">
        <v>30</v>
      </c>
      <c r="F21" s="19">
        <v>3.61</v>
      </c>
      <c r="G21" s="19">
        <v>150</v>
      </c>
      <c r="H21" s="19">
        <v>0</v>
      </c>
      <c r="I21" s="19">
        <v>2.4E-2</v>
      </c>
      <c r="J21" s="19">
        <v>9.5000000000000001E-2</v>
      </c>
      <c r="K21" s="19">
        <v>20.7</v>
      </c>
      <c r="L21" s="19">
        <v>5</v>
      </c>
      <c r="M21" s="19">
        <v>31</v>
      </c>
      <c r="N21" s="19">
        <v>161.69999999999999</v>
      </c>
      <c r="O21" s="19">
        <v>1.7999999999999999E-2</v>
      </c>
      <c r="P21" s="19">
        <v>0.106</v>
      </c>
      <c r="Q21" s="19">
        <v>5.2</v>
      </c>
      <c r="R21" s="19">
        <v>57</v>
      </c>
      <c r="S21" s="19">
        <v>288.3</v>
      </c>
      <c r="T21" s="19">
        <v>6.9</v>
      </c>
      <c r="U21" s="19">
        <v>2.4E-2</v>
      </c>
      <c r="V21" s="19">
        <v>0.10199999999999999</v>
      </c>
      <c r="W21" s="19">
        <v>31.2</v>
      </c>
      <c r="X21" s="68">
        <v>5.0999999999999996</v>
      </c>
    </row>
    <row r="22" spans="1:24" x14ac:dyDescent="0.25">
      <c r="A22">
        <v>6</v>
      </c>
      <c r="B22" s="65" t="s">
        <v>143</v>
      </c>
      <c r="C22" s="21">
        <v>22.37</v>
      </c>
      <c r="D22" s="19">
        <v>3.6999999999999998E-2</v>
      </c>
      <c r="E22" s="19">
        <v>53</v>
      </c>
      <c r="F22" s="19">
        <v>8.3800000000000008</v>
      </c>
      <c r="G22" s="19">
        <v>229</v>
      </c>
      <c r="H22" s="19">
        <v>2.4</v>
      </c>
      <c r="I22" s="19">
        <v>3.6999999999999998E-2</v>
      </c>
      <c r="J22" s="64">
        <v>0.2</v>
      </c>
      <c r="K22" s="19">
        <v>30.5</v>
      </c>
      <c r="L22" s="19">
        <v>4.3</v>
      </c>
      <c r="M22" s="19">
        <v>24</v>
      </c>
      <c r="N22" s="19">
        <v>66.2</v>
      </c>
      <c r="O22" s="19">
        <v>4.2999999999999997E-2</v>
      </c>
      <c r="P22" s="19">
        <v>0.19900000000000001</v>
      </c>
      <c r="Q22" s="19">
        <v>2.8</v>
      </c>
      <c r="R22" s="19">
        <v>71</v>
      </c>
      <c r="S22" s="19">
        <v>304.89999999999998</v>
      </c>
      <c r="T22" s="19">
        <v>11.1</v>
      </c>
      <c r="U22" s="19">
        <v>3.5999999999999997E-2</v>
      </c>
      <c r="V22" s="19">
        <v>0.19900000000000001</v>
      </c>
      <c r="W22" s="19">
        <v>40.4</v>
      </c>
      <c r="X22" s="68">
        <v>4.3</v>
      </c>
    </row>
    <row r="23" spans="1:24" x14ac:dyDescent="0.25">
      <c r="A23">
        <v>7</v>
      </c>
      <c r="B23" s="65" t="s">
        <v>60</v>
      </c>
      <c r="C23" s="21">
        <v>22.22</v>
      </c>
      <c r="D23" s="19">
        <v>3.6999999999999998E-2</v>
      </c>
      <c r="E23" s="19">
        <v>54</v>
      </c>
      <c r="F23" s="19">
        <v>8.1999999999999993</v>
      </c>
      <c r="G23" s="19">
        <v>108.4</v>
      </c>
      <c r="H23" s="19">
        <v>3.6</v>
      </c>
      <c r="I23" s="19">
        <v>7.5999999999999998E-2</v>
      </c>
      <c r="J23" s="19">
        <v>0.24099999999999999</v>
      </c>
      <c r="K23" s="19">
        <v>10</v>
      </c>
      <c r="L23" s="19">
        <v>2</v>
      </c>
      <c r="M23" s="19">
        <v>42</v>
      </c>
      <c r="N23" s="19">
        <v>66.8</v>
      </c>
      <c r="O23" s="19">
        <v>4.5999999999999999E-2</v>
      </c>
      <c r="P23" s="19">
        <v>0.19900000000000001</v>
      </c>
      <c r="Q23" s="19">
        <v>1.6</v>
      </c>
      <c r="R23" s="19">
        <v>94</v>
      </c>
      <c r="S23" s="19">
        <v>422.8</v>
      </c>
      <c r="T23" s="19">
        <v>10.85</v>
      </c>
      <c r="U23" s="19">
        <v>2.5999999999999999E-2</v>
      </c>
      <c r="V23" s="19">
        <v>0.23400000000000001</v>
      </c>
      <c r="W23" s="19">
        <v>268.2</v>
      </c>
      <c r="X23" s="19">
        <v>4.5</v>
      </c>
    </row>
    <row r="24" spans="1:24" x14ac:dyDescent="0.25">
      <c r="A24">
        <v>8</v>
      </c>
      <c r="B24" s="65" t="s">
        <v>61</v>
      </c>
      <c r="C24" s="23">
        <v>15.75</v>
      </c>
      <c r="D24" s="19">
        <v>2.5999999999999999E-2</v>
      </c>
      <c r="E24" s="19">
        <v>34</v>
      </c>
      <c r="F24" s="19">
        <v>5.54</v>
      </c>
      <c r="G24" s="19">
        <v>78.3</v>
      </c>
      <c r="H24" s="19">
        <v>4.5</v>
      </c>
      <c r="I24" s="19">
        <v>7.0999999999999994E-2</v>
      </c>
      <c r="J24" s="64">
        <v>0.22</v>
      </c>
      <c r="K24" s="19">
        <v>7.7</v>
      </c>
      <c r="L24" s="19">
        <v>2.2999999999999998</v>
      </c>
      <c r="M24" s="19">
        <v>30</v>
      </c>
      <c r="N24" s="19">
        <v>379.1</v>
      </c>
      <c r="O24" s="19">
        <v>7.0000000000000001E-3</v>
      </c>
      <c r="P24" s="64">
        <v>0.19</v>
      </c>
      <c r="Q24" s="19">
        <v>12.6</v>
      </c>
      <c r="R24" s="19">
        <v>60</v>
      </c>
      <c r="S24" s="19">
        <v>142.6</v>
      </c>
      <c r="T24" s="19">
        <v>7.39</v>
      </c>
      <c r="U24" s="19">
        <v>5.1999999999999998E-2</v>
      </c>
      <c r="V24" s="19">
        <v>0.21199999999999999</v>
      </c>
      <c r="W24" s="19">
        <v>10.8</v>
      </c>
      <c r="X24" s="19">
        <v>2.4</v>
      </c>
    </row>
    <row r="25" spans="1:24" x14ac:dyDescent="0.25">
      <c r="A25">
        <v>9</v>
      </c>
      <c r="B25" s="66" t="s">
        <v>28</v>
      </c>
      <c r="C25" s="23">
        <v>41.2</v>
      </c>
      <c r="D25" s="19">
        <v>6.9000000000000006E-2</v>
      </c>
      <c r="E25" s="19">
        <v>30</v>
      </c>
      <c r="F25" s="19">
        <v>4.92</v>
      </c>
      <c r="G25" s="19">
        <v>49.2</v>
      </c>
      <c r="H25" s="19">
        <v>8.9</v>
      </c>
      <c r="I25" s="23">
        <v>0.1</v>
      </c>
      <c r="J25" s="19">
        <v>0.28399999999999997</v>
      </c>
      <c r="K25" s="19">
        <v>4.8</v>
      </c>
      <c r="L25" s="19">
        <v>1.6</v>
      </c>
      <c r="M25" s="19">
        <v>89</v>
      </c>
      <c r="N25" s="19">
        <v>135.9</v>
      </c>
      <c r="O25" s="19">
        <v>6.8000000000000005E-2</v>
      </c>
      <c r="P25" s="19">
        <v>0.35899999999999999</v>
      </c>
      <c r="Q25" s="19">
        <v>1.5</v>
      </c>
      <c r="R25" s="19">
        <v>63</v>
      </c>
      <c r="S25" s="19">
        <v>124.8</v>
      </c>
      <c r="T25" s="19">
        <v>7.43</v>
      </c>
      <c r="U25" s="19">
        <v>0.06</v>
      </c>
      <c r="V25" s="19">
        <v>0.22600000000000001</v>
      </c>
      <c r="W25" s="19">
        <v>5.8</v>
      </c>
      <c r="X25" s="19">
        <v>2</v>
      </c>
    </row>
    <row r="26" spans="1:24" x14ac:dyDescent="0.25">
      <c r="A26">
        <v>10</v>
      </c>
      <c r="B26" s="65" t="s">
        <v>29</v>
      </c>
      <c r="C26" s="23">
        <v>40.1</v>
      </c>
      <c r="D26" s="19">
        <v>6.8000000000000005E-2</v>
      </c>
      <c r="E26" s="19">
        <v>31</v>
      </c>
      <c r="F26" s="19">
        <v>5.38</v>
      </c>
      <c r="G26" s="19">
        <v>56</v>
      </c>
      <c r="H26" s="19">
        <v>0.7</v>
      </c>
      <c r="I26" s="19">
        <v>9.6000000000000002E-2</v>
      </c>
      <c r="J26" s="64">
        <v>0.24</v>
      </c>
      <c r="K26" s="19">
        <v>10.7</v>
      </c>
      <c r="L26" s="19">
        <v>1.8</v>
      </c>
      <c r="M26" s="19">
        <v>101</v>
      </c>
      <c r="N26" s="19">
        <v>121.3</v>
      </c>
      <c r="O26" s="19">
        <v>7.6999999999999999E-2</v>
      </c>
      <c r="P26" s="19">
        <v>0.246</v>
      </c>
      <c r="Q26" s="19">
        <v>1.2</v>
      </c>
      <c r="R26" s="19">
        <v>71</v>
      </c>
      <c r="S26" s="19">
        <v>120</v>
      </c>
      <c r="T26" s="19">
        <v>9</v>
      </c>
      <c r="U26" s="19">
        <v>7.4999999999999997E-2</v>
      </c>
      <c r="V26" s="19">
        <v>0.24399999999999999</v>
      </c>
      <c r="W26" s="65">
        <v>9.9</v>
      </c>
      <c r="X26" s="19">
        <v>1.7</v>
      </c>
    </row>
    <row r="27" spans="1:24" x14ac:dyDescent="0.25">
      <c r="B27" s="17" t="s">
        <v>128</v>
      </c>
      <c r="C27" s="22">
        <f>AVERAGE(C17:C26)</f>
        <v>26.536000000000001</v>
      </c>
      <c r="D27" s="22">
        <f t="shared" ref="D27:X27" si="2">AVERAGE(D17:D26)</f>
        <v>4.4400000000000002E-2</v>
      </c>
      <c r="E27" s="22">
        <f t="shared" si="2"/>
        <v>32.5</v>
      </c>
      <c r="F27" s="22">
        <f t="shared" si="2"/>
        <v>5.0320000000000009</v>
      </c>
      <c r="G27" s="22">
        <f t="shared" si="2"/>
        <v>91.5</v>
      </c>
      <c r="H27" s="22">
        <f t="shared" si="2"/>
        <v>3.14</v>
      </c>
      <c r="I27" s="22">
        <f t="shared" si="2"/>
        <v>6.8699999999999997E-2</v>
      </c>
      <c r="J27" s="22">
        <f t="shared" si="2"/>
        <v>0.20119999999999996</v>
      </c>
      <c r="K27" s="22">
        <f t="shared" si="2"/>
        <v>19.07</v>
      </c>
      <c r="L27" s="22">
        <f t="shared" si="2"/>
        <v>2.74</v>
      </c>
      <c r="M27" s="22">
        <f t="shared" si="2"/>
        <v>65.599999999999994</v>
      </c>
      <c r="N27" s="22">
        <f t="shared" si="2"/>
        <v>167.31</v>
      </c>
      <c r="O27" s="22">
        <f t="shared" si="2"/>
        <v>4.2599999999999999E-2</v>
      </c>
      <c r="P27" s="22">
        <f t="shared" si="2"/>
        <v>0.22170000000000001</v>
      </c>
      <c r="Q27" s="22">
        <f t="shared" si="2"/>
        <v>3.37</v>
      </c>
      <c r="R27" s="22">
        <f t="shared" si="2"/>
        <v>55</v>
      </c>
      <c r="S27" s="22">
        <f t="shared" si="2"/>
        <v>157.09999999999997</v>
      </c>
      <c r="T27" s="22">
        <f t="shared" si="2"/>
        <v>6.2490000000000006</v>
      </c>
      <c r="U27" s="22">
        <f t="shared" si="2"/>
        <v>5.1900000000000002E-2</v>
      </c>
      <c r="V27" s="22">
        <f t="shared" si="2"/>
        <v>0.19849999999999998</v>
      </c>
      <c r="W27" s="22">
        <f t="shared" si="2"/>
        <v>39.79</v>
      </c>
      <c r="X27" s="22">
        <f t="shared" si="2"/>
        <v>2.4899999999999998</v>
      </c>
    </row>
    <row r="28" spans="1:24" x14ac:dyDescent="0.25">
      <c r="B28" s="79" t="s">
        <v>148</v>
      </c>
      <c r="C28" s="22">
        <f>_xlfn.STDEV.S(C17:C26)</f>
        <v>9.4160515433310401</v>
      </c>
      <c r="D28" s="22">
        <f t="shared" ref="D28:X28" si="3">_xlfn.STDEV.S(D17:D26)</f>
        <v>1.5931799089312609E-2</v>
      </c>
      <c r="E28" s="22">
        <f t="shared" si="3"/>
        <v>11.74970448800971</v>
      </c>
      <c r="F28" s="22">
        <f t="shared" si="3"/>
        <v>1.8952150273781576</v>
      </c>
      <c r="G28" s="22">
        <f t="shared" si="3"/>
        <v>60.023365820690557</v>
      </c>
      <c r="H28" s="22">
        <f t="shared" si="3"/>
        <v>2.6407911272529256</v>
      </c>
      <c r="I28" s="22">
        <f t="shared" si="3"/>
        <v>3.0022399045453462E-2</v>
      </c>
      <c r="J28" s="22">
        <f t="shared" si="3"/>
        <v>5.126575638550359E-2</v>
      </c>
      <c r="K28" s="22">
        <f t="shared" si="3"/>
        <v>20.644345472792299</v>
      </c>
      <c r="L28" s="22">
        <f t="shared" si="3"/>
        <v>1.3251415018781945</v>
      </c>
      <c r="M28" s="22">
        <f t="shared" si="3"/>
        <v>32.197998557536323</v>
      </c>
      <c r="N28" s="22">
        <f t="shared" si="3"/>
        <v>91.175672315712703</v>
      </c>
      <c r="O28" s="22">
        <f t="shared" si="3"/>
        <v>2.0619300559319553E-2</v>
      </c>
      <c r="P28" s="22">
        <f t="shared" si="3"/>
        <v>6.5445566864549498E-2</v>
      </c>
      <c r="Q28" s="22">
        <f t="shared" si="3"/>
        <v>3.4283296872448603</v>
      </c>
      <c r="R28" s="22">
        <f t="shared" si="3"/>
        <v>21.338541031038961</v>
      </c>
      <c r="S28" s="22">
        <f t="shared" si="3"/>
        <v>135.7523644156685</v>
      </c>
      <c r="T28" s="22">
        <f t="shared" si="3"/>
        <v>3.5499967136135018</v>
      </c>
      <c r="U28" s="22">
        <f t="shared" si="3"/>
        <v>1.8976301009416965E-2</v>
      </c>
      <c r="V28" s="22">
        <f t="shared" si="3"/>
        <v>4.0522284678378623E-2</v>
      </c>
      <c r="W28" s="22">
        <f t="shared" si="3"/>
        <v>81.136598811305035</v>
      </c>
      <c r="X28" s="22">
        <f t="shared" si="3"/>
        <v>1.5466451147923728</v>
      </c>
    </row>
    <row r="30" spans="1:24" x14ac:dyDescent="0.25">
      <c r="B30" s="25"/>
      <c r="C30" s="17" t="s">
        <v>79</v>
      </c>
      <c r="D30" s="17" t="s">
        <v>80</v>
      </c>
      <c r="E30" s="18" t="s">
        <v>81</v>
      </c>
      <c r="F30" s="18" t="s">
        <v>82</v>
      </c>
      <c r="G30" s="18" t="s">
        <v>83</v>
      </c>
      <c r="H30" s="17" t="s">
        <v>84</v>
      </c>
      <c r="I30" s="17" t="s">
        <v>85</v>
      </c>
      <c r="J30" s="17" t="s">
        <v>86</v>
      </c>
      <c r="K30" s="17" t="s">
        <v>87</v>
      </c>
      <c r="L30" s="17" t="s">
        <v>85</v>
      </c>
      <c r="M30" s="17" t="s">
        <v>88</v>
      </c>
      <c r="N30" s="17" t="s">
        <v>89</v>
      </c>
      <c r="O30" s="17" t="s">
        <v>90</v>
      </c>
      <c r="P30" s="17" t="s">
        <v>91</v>
      </c>
      <c r="Q30" s="17" t="s">
        <v>92</v>
      </c>
      <c r="R30" s="17" t="s">
        <v>93</v>
      </c>
      <c r="S30" s="17" t="s">
        <v>94</v>
      </c>
      <c r="T30" s="17" t="s">
        <v>95</v>
      </c>
      <c r="U30" s="17" t="s">
        <v>96</v>
      </c>
      <c r="V30" s="17" t="s">
        <v>97</v>
      </c>
      <c r="W30" s="17" t="s">
        <v>98</v>
      </c>
      <c r="X30" s="17" t="s">
        <v>99</v>
      </c>
    </row>
    <row r="31" spans="1:24" x14ac:dyDescent="0.25">
      <c r="B31" s="26" t="s">
        <v>72</v>
      </c>
      <c r="C31" s="63">
        <v>25.812000000000001</v>
      </c>
      <c r="D31" s="63">
        <v>4.3200000000000002E-2</v>
      </c>
      <c r="E31" s="63">
        <v>29</v>
      </c>
      <c r="F31" s="63">
        <v>4.5460000000000003</v>
      </c>
      <c r="G31" s="63">
        <v>94.640000000000015</v>
      </c>
      <c r="H31" s="63">
        <v>20.840000000000003</v>
      </c>
      <c r="I31" s="63">
        <v>7.7100000000000002E-2</v>
      </c>
      <c r="J31" s="63">
        <v>0.21919999999999998</v>
      </c>
      <c r="K31" s="63">
        <v>31.110000000000003</v>
      </c>
      <c r="L31" s="63">
        <v>4.7888888888888888</v>
      </c>
      <c r="M31" s="63">
        <v>59.9</v>
      </c>
      <c r="N31" s="63">
        <v>146.38000000000002</v>
      </c>
      <c r="O31" s="63">
        <v>4.3400000000000001E-2</v>
      </c>
      <c r="P31" s="63">
        <v>0.22739999999999999</v>
      </c>
      <c r="Q31" s="63">
        <v>3.87</v>
      </c>
      <c r="R31" s="63">
        <v>54.3</v>
      </c>
      <c r="S31" s="63">
        <v>142.05000000000001</v>
      </c>
      <c r="T31" s="63">
        <v>7.05</v>
      </c>
      <c r="U31" s="63">
        <v>5.4400000000000004E-2</v>
      </c>
      <c r="V31" s="63">
        <v>0.22749999999999995</v>
      </c>
      <c r="W31" s="63">
        <v>21.56</v>
      </c>
      <c r="X31" s="63">
        <v>2.6900000000000004</v>
      </c>
    </row>
    <row r="32" spans="1:24" x14ac:dyDescent="0.25">
      <c r="B32" s="27" t="s">
        <v>73</v>
      </c>
      <c r="C32" s="70">
        <v>26.536000000000001</v>
      </c>
      <c r="D32" s="70">
        <v>4.4400000000000002E-2</v>
      </c>
      <c r="E32" s="70">
        <v>32.5</v>
      </c>
      <c r="F32" s="70">
        <v>5.0320000000000009</v>
      </c>
      <c r="G32" s="70">
        <v>91.5</v>
      </c>
      <c r="H32" s="70">
        <v>3.14</v>
      </c>
      <c r="I32" s="70">
        <v>6.8699999999999997E-2</v>
      </c>
      <c r="J32" s="70">
        <v>0.20119999999999996</v>
      </c>
      <c r="K32" s="70">
        <v>19.07</v>
      </c>
      <c r="L32" s="70">
        <v>2.74</v>
      </c>
      <c r="M32" s="70">
        <v>65.599999999999994</v>
      </c>
      <c r="N32" s="70">
        <v>167.31</v>
      </c>
      <c r="O32" s="70">
        <v>4.2599999999999999E-2</v>
      </c>
      <c r="P32" s="70">
        <v>0.22170000000000001</v>
      </c>
      <c r="Q32" s="70">
        <v>3.37</v>
      </c>
      <c r="R32" s="70">
        <v>55</v>
      </c>
      <c r="S32" s="70">
        <v>157.09999999999997</v>
      </c>
      <c r="T32" s="70">
        <v>6.2490000000000006</v>
      </c>
      <c r="U32" s="70">
        <v>5.1900000000000002E-2</v>
      </c>
      <c r="V32" s="70">
        <v>0.19849999999999998</v>
      </c>
      <c r="W32" s="70">
        <v>39.79</v>
      </c>
      <c r="X32" s="70">
        <v>2.4899999999999998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3"/>
  <sheetViews>
    <sheetView topLeftCell="A4" workbookViewId="0">
      <selection activeCell="B25" sqref="B25"/>
    </sheetView>
  </sheetViews>
  <sheetFormatPr baseColWidth="10" defaultColWidth="14.42578125" defaultRowHeight="15" customHeight="1" x14ac:dyDescent="0.25"/>
  <sheetData>
    <row r="1" spans="1:20" x14ac:dyDescent="0.25">
      <c r="A1" s="16" t="s">
        <v>35</v>
      </c>
      <c r="B1" s="1" t="s">
        <v>0</v>
      </c>
      <c r="C1" s="2" t="s">
        <v>1</v>
      </c>
      <c r="D1" s="2" t="s">
        <v>2</v>
      </c>
      <c r="E1" s="2" t="s">
        <v>3</v>
      </c>
      <c r="F1" s="1" t="s">
        <v>4</v>
      </c>
      <c r="G1" s="1" t="s">
        <v>5</v>
      </c>
      <c r="H1" s="1" t="s">
        <v>6</v>
      </c>
      <c r="I1" s="12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 x14ac:dyDescent="0.25">
      <c r="A2" s="3" t="s">
        <v>36</v>
      </c>
      <c r="B2" s="6">
        <v>10</v>
      </c>
      <c r="C2" s="6">
        <v>7.44</v>
      </c>
      <c r="D2" s="6">
        <v>3</v>
      </c>
      <c r="E2" s="6">
        <v>2</v>
      </c>
      <c r="F2" s="6">
        <v>2</v>
      </c>
      <c r="G2" s="6">
        <v>290</v>
      </c>
      <c r="H2" s="31">
        <v>0</v>
      </c>
      <c r="I2" s="35">
        <v>4.68</v>
      </c>
      <c r="J2" s="33">
        <v>10</v>
      </c>
      <c r="K2" s="6">
        <v>58</v>
      </c>
      <c r="L2" s="6">
        <v>174</v>
      </c>
      <c r="M2" s="6">
        <v>1</v>
      </c>
      <c r="N2" s="6">
        <v>4</v>
      </c>
      <c r="O2" s="6">
        <v>0</v>
      </c>
      <c r="P2" s="6">
        <v>0</v>
      </c>
      <c r="Q2" s="6">
        <v>24</v>
      </c>
      <c r="R2" s="6">
        <v>50</v>
      </c>
      <c r="S2" s="6">
        <v>8</v>
      </c>
      <c r="T2" s="6">
        <v>20</v>
      </c>
    </row>
    <row r="3" spans="1:20" x14ac:dyDescent="0.25">
      <c r="A3" s="3" t="s">
        <v>37</v>
      </c>
      <c r="B3" s="6">
        <v>1</v>
      </c>
      <c r="C3" s="6">
        <v>133.80000000000001</v>
      </c>
      <c r="D3" s="6">
        <v>2</v>
      </c>
      <c r="E3" s="6">
        <v>6</v>
      </c>
      <c r="F3" s="6">
        <v>6</v>
      </c>
      <c r="G3" s="6">
        <v>96.6</v>
      </c>
      <c r="H3" s="31">
        <v>10</v>
      </c>
      <c r="I3" s="35">
        <v>95.4</v>
      </c>
      <c r="J3" s="33">
        <v>89.3</v>
      </c>
      <c r="K3" s="6">
        <v>26</v>
      </c>
      <c r="L3" s="6">
        <v>52</v>
      </c>
      <c r="M3" s="6">
        <v>0</v>
      </c>
      <c r="N3" s="6">
        <v>0</v>
      </c>
      <c r="O3" s="6">
        <v>13</v>
      </c>
      <c r="P3" s="6">
        <v>28</v>
      </c>
      <c r="Q3" s="6">
        <v>19</v>
      </c>
      <c r="R3" s="6">
        <v>57</v>
      </c>
      <c r="S3" s="6">
        <v>38</v>
      </c>
      <c r="T3" s="6">
        <v>76</v>
      </c>
    </row>
    <row r="4" spans="1:20" x14ac:dyDescent="0.25">
      <c r="A4" s="3" t="s">
        <v>38</v>
      </c>
      <c r="B4" s="6">
        <v>1</v>
      </c>
      <c r="C4" s="6">
        <v>137.4</v>
      </c>
      <c r="D4" s="6">
        <v>4</v>
      </c>
      <c r="E4" s="6">
        <v>6</v>
      </c>
      <c r="F4" s="6">
        <v>5</v>
      </c>
      <c r="G4" s="6">
        <v>180.5</v>
      </c>
      <c r="H4" s="31">
        <v>1</v>
      </c>
      <c r="I4" s="35">
        <v>8.77</v>
      </c>
      <c r="J4" s="33">
        <v>116</v>
      </c>
      <c r="K4" s="6">
        <v>41</v>
      </c>
      <c r="L4" s="6">
        <v>82</v>
      </c>
      <c r="M4" s="6">
        <v>0</v>
      </c>
      <c r="N4" s="6">
        <v>0</v>
      </c>
      <c r="O4" s="6">
        <v>4</v>
      </c>
      <c r="P4" s="6">
        <v>8</v>
      </c>
      <c r="Q4" s="6">
        <v>20</v>
      </c>
      <c r="R4" s="6">
        <v>60</v>
      </c>
      <c r="S4" s="6">
        <v>30</v>
      </c>
      <c r="T4" s="6">
        <v>60</v>
      </c>
    </row>
    <row r="5" spans="1:20" x14ac:dyDescent="0.25">
      <c r="A5" s="3" t="s">
        <v>39</v>
      </c>
      <c r="B5" s="6">
        <v>1</v>
      </c>
      <c r="C5" s="6">
        <v>85.6</v>
      </c>
      <c r="D5" s="6">
        <v>1</v>
      </c>
      <c r="E5" s="6">
        <v>11</v>
      </c>
      <c r="F5" s="6">
        <v>9</v>
      </c>
      <c r="G5" s="6">
        <v>129.1</v>
      </c>
      <c r="H5" s="31">
        <v>9</v>
      </c>
      <c r="I5" s="35">
        <v>90</v>
      </c>
      <c r="J5" s="33">
        <v>47.3</v>
      </c>
      <c r="K5" s="6">
        <v>43</v>
      </c>
      <c r="L5" s="6">
        <v>86</v>
      </c>
      <c r="M5" s="6">
        <v>0</v>
      </c>
      <c r="N5" s="6">
        <v>0</v>
      </c>
      <c r="O5" s="6">
        <v>24</v>
      </c>
      <c r="P5" s="6">
        <v>48</v>
      </c>
      <c r="Q5" s="6">
        <v>13</v>
      </c>
      <c r="R5" s="6">
        <v>30</v>
      </c>
      <c r="S5" s="6">
        <v>53</v>
      </c>
      <c r="T5" s="6">
        <v>106</v>
      </c>
    </row>
    <row r="6" spans="1:20" x14ac:dyDescent="0.25">
      <c r="A6" s="3" t="s">
        <v>40</v>
      </c>
      <c r="B6" s="6">
        <v>1</v>
      </c>
      <c r="C6" s="6">
        <v>76.2</v>
      </c>
      <c r="D6" s="6">
        <v>1</v>
      </c>
      <c r="E6" s="6">
        <v>7</v>
      </c>
      <c r="F6" s="6">
        <v>3</v>
      </c>
      <c r="G6" s="6">
        <v>48.2</v>
      </c>
      <c r="H6" s="31">
        <v>13</v>
      </c>
      <c r="I6" s="35">
        <v>203.4</v>
      </c>
      <c r="J6" s="33">
        <v>34</v>
      </c>
      <c r="K6" s="6">
        <v>21</v>
      </c>
      <c r="L6" s="6">
        <v>45</v>
      </c>
      <c r="M6" s="6">
        <v>2</v>
      </c>
      <c r="N6" s="6">
        <v>12</v>
      </c>
      <c r="O6" s="6">
        <v>35</v>
      </c>
      <c r="P6" s="6">
        <v>70</v>
      </c>
      <c r="Q6" s="6">
        <v>22</v>
      </c>
      <c r="R6" s="6">
        <v>45</v>
      </c>
      <c r="S6" s="6">
        <v>31</v>
      </c>
      <c r="T6" s="6">
        <v>94</v>
      </c>
    </row>
    <row r="7" spans="1:20" x14ac:dyDescent="0.25">
      <c r="A7" s="3" t="s">
        <v>41</v>
      </c>
      <c r="B7" s="6">
        <v>1</v>
      </c>
      <c r="C7" s="6">
        <v>61.2</v>
      </c>
      <c r="D7" s="6">
        <v>1</v>
      </c>
      <c r="E7" s="6">
        <v>7</v>
      </c>
      <c r="F7" s="6">
        <v>4</v>
      </c>
      <c r="G7" s="6">
        <v>78.099999999999994</v>
      </c>
      <c r="H7" s="31">
        <v>10</v>
      </c>
      <c r="I7" s="35">
        <v>196.2</v>
      </c>
      <c r="J7" s="33">
        <v>8.5</v>
      </c>
      <c r="K7" s="6">
        <v>24</v>
      </c>
      <c r="L7" s="6">
        <v>48</v>
      </c>
      <c r="M7" s="6">
        <v>3</v>
      </c>
      <c r="N7" s="6">
        <v>19.47</v>
      </c>
      <c r="O7" s="6">
        <v>29</v>
      </c>
      <c r="P7" s="6">
        <v>58</v>
      </c>
      <c r="Q7" s="6">
        <v>26</v>
      </c>
      <c r="R7" s="6">
        <v>78</v>
      </c>
      <c r="S7" s="6">
        <v>26</v>
      </c>
      <c r="T7" s="6">
        <v>52</v>
      </c>
    </row>
    <row r="8" spans="1:20" x14ac:dyDescent="0.25">
      <c r="A8" s="3" t="s">
        <v>42</v>
      </c>
      <c r="B8" s="6">
        <v>1</v>
      </c>
      <c r="C8" s="6">
        <v>63.6</v>
      </c>
      <c r="D8" s="6">
        <v>0</v>
      </c>
      <c r="E8" s="6">
        <v>7</v>
      </c>
      <c r="F8" s="6">
        <v>2</v>
      </c>
      <c r="G8" s="6">
        <v>23.6</v>
      </c>
      <c r="H8" s="31">
        <v>15</v>
      </c>
      <c r="I8" s="35">
        <v>243.6</v>
      </c>
      <c r="J8" s="33">
        <v>46.4</v>
      </c>
      <c r="K8" s="6">
        <v>15</v>
      </c>
      <c r="L8" s="6">
        <v>30</v>
      </c>
      <c r="M8" s="6">
        <v>3</v>
      </c>
      <c r="N8" s="6">
        <v>19</v>
      </c>
      <c r="O8" s="6">
        <v>24</v>
      </c>
      <c r="P8" s="6">
        <v>48</v>
      </c>
      <c r="Q8" s="6">
        <v>26</v>
      </c>
      <c r="R8" s="6">
        <v>53</v>
      </c>
      <c r="S8" s="6">
        <v>19</v>
      </c>
      <c r="T8" s="6">
        <v>43</v>
      </c>
    </row>
    <row r="9" spans="1:20" x14ac:dyDescent="0.25">
      <c r="A9" s="3" t="s">
        <v>43</v>
      </c>
      <c r="B9" s="4">
        <v>1</v>
      </c>
      <c r="C9" s="5">
        <v>72.599999999999994</v>
      </c>
      <c r="D9" s="5">
        <v>2</v>
      </c>
      <c r="E9" s="5">
        <v>5</v>
      </c>
      <c r="F9" s="4">
        <v>9</v>
      </c>
      <c r="G9" s="4">
        <v>113.2</v>
      </c>
      <c r="H9" s="32">
        <v>7</v>
      </c>
      <c r="I9" s="35">
        <v>138.6</v>
      </c>
      <c r="J9" s="34">
        <v>42</v>
      </c>
      <c r="K9" s="5">
        <v>36</v>
      </c>
      <c r="L9" s="5">
        <v>72</v>
      </c>
      <c r="M9" s="5">
        <v>0</v>
      </c>
      <c r="N9" s="5">
        <v>0</v>
      </c>
      <c r="O9" s="5">
        <v>7</v>
      </c>
      <c r="P9" s="5">
        <v>14</v>
      </c>
      <c r="Q9" s="5">
        <v>53</v>
      </c>
      <c r="R9" s="5">
        <v>212</v>
      </c>
      <c r="S9" s="5">
        <v>14</v>
      </c>
      <c r="T9" s="5">
        <v>28</v>
      </c>
    </row>
    <row r="10" spans="1:20" x14ac:dyDescent="0.25">
      <c r="A10" s="3" t="s">
        <v>44</v>
      </c>
      <c r="B10" s="4">
        <v>3</v>
      </c>
      <c r="C10" s="5">
        <v>77.400000000000006</v>
      </c>
      <c r="D10" s="5">
        <v>2</v>
      </c>
      <c r="E10" s="5">
        <v>10</v>
      </c>
      <c r="F10" s="4">
        <v>6</v>
      </c>
      <c r="G10" s="4">
        <v>138.35</v>
      </c>
      <c r="H10" s="32">
        <v>6</v>
      </c>
      <c r="I10" s="35">
        <v>68.400000000000006</v>
      </c>
      <c r="J10" s="34">
        <v>81.34</v>
      </c>
      <c r="K10" s="5">
        <v>40</v>
      </c>
      <c r="L10" s="5">
        <v>80</v>
      </c>
      <c r="M10" s="5">
        <v>0</v>
      </c>
      <c r="N10" s="5">
        <v>0</v>
      </c>
      <c r="O10" s="5">
        <v>4</v>
      </c>
      <c r="P10" s="5">
        <v>4</v>
      </c>
      <c r="Q10" s="5">
        <v>23</v>
      </c>
      <c r="R10" s="5">
        <v>69</v>
      </c>
      <c r="S10" s="5">
        <v>37</v>
      </c>
      <c r="T10" s="5">
        <v>74</v>
      </c>
    </row>
    <row r="11" spans="1:20" x14ac:dyDescent="0.25">
      <c r="A11" s="3" t="s">
        <v>45</v>
      </c>
      <c r="B11" s="4">
        <v>26.4</v>
      </c>
      <c r="C11" s="5">
        <v>68.400000000000006</v>
      </c>
      <c r="D11" s="5">
        <v>7</v>
      </c>
      <c r="E11" s="5">
        <v>8</v>
      </c>
      <c r="F11" s="4">
        <v>10</v>
      </c>
      <c r="G11" s="4">
        <v>169.3</v>
      </c>
      <c r="H11" s="32">
        <v>5</v>
      </c>
      <c r="I11" s="35">
        <v>84.6</v>
      </c>
      <c r="J11" s="34">
        <v>32.82</v>
      </c>
      <c r="K11" s="5">
        <v>36</v>
      </c>
      <c r="L11" s="5">
        <v>72</v>
      </c>
      <c r="M11" s="5">
        <v>0</v>
      </c>
      <c r="N11" s="5">
        <v>0</v>
      </c>
      <c r="O11" s="5">
        <v>2</v>
      </c>
      <c r="P11" s="5">
        <v>2</v>
      </c>
      <c r="Q11" s="5">
        <v>17</v>
      </c>
      <c r="R11" s="5">
        <v>1</v>
      </c>
      <c r="S11" s="5">
        <v>36</v>
      </c>
      <c r="T11" s="5">
        <v>72</v>
      </c>
    </row>
    <row r="12" spans="1:20" x14ac:dyDescent="0.25">
      <c r="A12" s="3" t="s">
        <v>46</v>
      </c>
      <c r="B12" s="4">
        <v>2</v>
      </c>
      <c r="C12" s="5">
        <v>57.9</v>
      </c>
      <c r="D12" s="5">
        <v>0</v>
      </c>
      <c r="E12" s="5">
        <v>4</v>
      </c>
      <c r="F12" s="4">
        <v>3</v>
      </c>
      <c r="G12" s="4">
        <v>24</v>
      </c>
      <c r="H12" s="32">
        <v>9</v>
      </c>
      <c r="I12" s="35">
        <v>261.60000000000002</v>
      </c>
      <c r="J12" s="34">
        <v>6</v>
      </c>
      <c r="K12" s="5">
        <v>12</v>
      </c>
      <c r="L12" s="5">
        <v>24</v>
      </c>
      <c r="M12" s="5">
        <v>4</v>
      </c>
      <c r="N12" s="5">
        <v>41.12</v>
      </c>
      <c r="O12" s="5">
        <v>24</v>
      </c>
      <c r="P12" s="5">
        <v>50</v>
      </c>
      <c r="Q12" s="5">
        <v>40</v>
      </c>
      <c r="R12" s="5">
        <v>120</v>
      </c>
      <c r="S12" s="5">
        <v>14</v>
      </c>
      <c r="T12" s="5">
        <v>28</v>
      </c>
    </row>
    <row r="13" spans="1:20" x14ac:dyDescent="0.25">
      <c r="A13" s="3" t="s">
        <v>47</v>
      </c>
      <c r="B13" s="4">
        <v>1</v>
      </c>
      <c r="C13" s="5">
        <v>55</v>
      </c>
      <c r="D13" s="5">
        <v>3</v>
      </c>
      <c r="E13" s="5">
        <v>3</v>
      </c>
      <c r="F13" s="4">
        <v>4</v>
      </c>
      <c r="G13" s="4">
        <v>34.200000000000003</v>
      </c>
      <c r="H13" s="32">
        <v>11</v>
      </c>
      <c r="I13" s="35">
        <v>240.6</v>
      </c>
      <c r="J13" s="34">
        <v>33.200000000000003</v>
      </c>
      <c r="K13" s="5">
        <v>18</v>
      </c>
      <c r="L13" s="5">
        <v>36</v>
      </c>
      <c r="M13" s="5">
        <v>5</v>
      </c>
      <c r="N13" s="5">
        <v>28.07</v>
      </c>
      <c r="O13" s="5">
        <v>26</v>
      </c>
      <c r="P13" s="5">
        <v>52</v>
      </c>
      <c r="Q13" s="5">
        <v>46</v>
      </c>
      <c r="R13" s="5">
        <v>138</v>
      </c>
      <c r="S13" s="5">
        <v>10</v>
      </c>
      <c r="T13" s="5">
        <v>20</v>
      </c>
    </row>
    <row r="14" spans="1:20" x14ac:dyDescent="0.25">
      <c r="A14" s="3" t="s">
        <v>48</v>
      </c>
      <c r="B14" s="4">
        <v>1</v>
      </c>
      <c r="C14" s="5">
        <v>49.62</v>
      </c>
      <c r="D14" s="5">
        <v>1</v>
      </c>
      <c r="E14" s="5">
        <v>7</v>
      </c>
      <c r="F14" s="4">
        <v>2</v>
      </c>
      <c r="G14" s="4">
        <v>27</v>
      </c>
      <c r="H14" s="32">
        <v>11</v>
      </c>
      <c r="I14" s="35">
        <v>211.8</v>
      </c>
      <c r="J14" s="34">
        <v>41</v>
      </c>
      <c r="K14" s="5">
        <v>13</v>
      </c>
      <c r="L14" s="5">
        <v>26</v>
      </c>
      <c r="M14" s="5">
        <v>2</v>
      </c>
      <c r="N14" s="5">
        <v>16.329999999999998</v>
      </c>
      <c r="O14" s="5">
        <v>31</v>
      </c>
      <c r="P14" s="5">
        <v>62</v>
      </c>
      <c r="Q14" s="5">
        <v>23</v>
      </c>
      <c r="R14" s="5">
        <v>78</v>
      </c>
      <c r="S14" s="5">
        <v>13</v>
      </c>
      <c r="T14" s="5">
        <v>26</v>
      </c>
    </row>
    <row r="15" spans="1:20" x14ac:dyDescent="0.25">
      <c r="A15" s="3" t="s">
        <v>19</v>
      </c>
      <c r="B15" s="4">
        <v>21</v>
      </c>
      <c r="C15" s="5">
        <v>74.400000000000006</v>
      </c>
      <c r="D15" s="5">
        <v>4</v>
      </c>
      <c r="E15" s="5">
        <v>11</v>
      </c>
      <c r="F15" s="4">
        <v>8</v>
      </c>
      <c r="G15" s="4">
        <v>101.8</v>
      </c>
      <c r="H15" s="32">
        <v>10</v>
      </c>
      <c r="I15" s="35">
        <v>90.6</v>
      </c>
      <c r="J15" s="34">
        <v>69.03</v>
      </c>
      <c r="K15" s="5">
        <v>51</v>
      </c>
      <c r="L15" s="5">
        <v>51</v>
      </c>
      <c r="M15" s="5">
        <v>0</v>
      </c>
      <c r="N15" s="5">
        <v>0</v>
      </c>
      <c r="O15" s="5">
        <v>16</v>
      </c>
      <c r="P15" s="5">
        <v>32</v>
      </c>
      <c r="Q15" s="5">
        <v>37</v>
      </c>
      <c r="R15" s="5">
        <v>148</v>
      </c>
      <c r="S15" s="5">
        <v>16</v>
      </c>
      <c r="T15" s="5">
        <v>32</v>
      </c>
    </row>
    <row r="16" spans="1:20" x14ac:dyDescent="0.25">
      <c r="A16" s="3" t="s">
        <v>20</v>
      </c>
      <c r="B16" s="4">
        <v>1.5</v>
      </c>
      <c r="C16" s="5">
        <v>127.8</v>
      </c>
      <c r="D16" s="5">
        <v>1</v>
      </c>
      <c r="E16" s="5">
        <v>9</v>
      </c>
      <c r="F16" s="4">
        <v>8</v>
      </c>
      <c r="G16" s="4">
        <v>109.26</v>
      </c>
      <c r="H16" s="32">
        <v>8</v>
      </c>
      <c r="I16" s="35">
        <v>82.8</v>
      </c>
      <c r="J16" s="34">
        <v>102</v>
      </c>
      <c r="K16" s="5">
        <v>36</v>
      </c>
      <c r="L16" s="5">
        <v>37</v>
      </c>
      <c r="M16" s="5">
        <v>0</v>
      </c>
      <c r="N16" s="5">
        <v>0</v>
      </c>
      <c r="O16" s="5">
        <v>6</v>
      </c>
      <c r="P16" s="5">
        <v>6</v>
      </c>
      <c r="Q16" s="5">
        <v>54</v>
      </c>
      <c r="R16" s="5">
        <v>216</v>
      </c>
      <c r="S16" s="5">
        <v>7</v>
      </c>
      <c r="T16" s="5">
        <v>14</v>
      </c>
    </row>
    <row r="17" spans="1:21" x14ac:dyDescent="0.25">
      <c r="A17" s="3" t="s">
        <v>21</v>
      </c>
      <c r="B17" s="4">
        <v>1</v>
      </c>
      <c r="C17" s="5">
        <v>90.6</v>
      </c>
      <c r="D17" s="5">
        <v>9</v>
      </c>
      <c r="E17" s="5">
        <v>10</v>
      </c>
      <c r="F17" s="4">
        <v>16</v>
      </c>
      <c r="G17" s="4">
        <v>188.92</v>
      </c>
      <c r="H17" s="32">
        <v>12</v>
      </c>
      <c r="I17" s="35">
        <v>87.6</v>
      </c>
      <c r="J17" s="34">
        <v>34</v>
      </c>
      <c r="K17" s="5">
        <v>67</v>
      </c>
      <c r="L17" s="5">
        <v>69</v>
      </c>
      <c r="M17" s="5">
        <v>0</v>
      </c>
      <c r="N17" s="5">
        <v>0</v>
      </c>
      <c r="O17" s="5">
        <v>13</v>
      </c>
      <c r="P17" s="5">
        <v>13</v>
      </c>
      <c r="Q17" s="5">
        <v>37</v>
      </c>
      <c r="R17" s="5">
        <v>148</v>
      </c>
      <c r="S17" s="5">
        <v>11</v>
      </c>
      <c r="T17" s="5">
        <v>22</v>
      </c>
    </row>
    <row r="18" spans="1:21" x14ac:dyDescent="0.25">
      <c r="A18" s="3" t="s">
        <v>22</v>
      </c>
      <c r="B18" s="4">
        <v>2.9</v>
      </c>
      <c r="C18" s="5">
        <v>82.2</v>
      </c>
      <c r="D18" s="5">
        <v>0</v>
      </c>
      <c r="E18" s="5">
        <v>4</v>
      </c>
      <c r="F18" s="4">
        <v>1</v>
      </c>
      <c r="G18" s="4">
        <v>4</v>
      </c>
      <c r="H18" s="32">
        <v>11</v>
      </c>
      <c r="I18" s="35">
        <v>242.4</v>
      </c>
      <c r="J18" s="34">
        <v>35.6</v>
      </c>
      <c r="K18" s="5">
        <v>7</v>
      </c>
      <c r="L18" s="5">
        <v>7</v>
      </c>
      <c r="M18" s="5">
        <v>1</v>
      </c>
      <c r="N18" s="5">
        <v>6</v>
      </c>
      <c r="O18" s="5">
        <v>27</v>
      </c>
      <c r="P18" s="5">
        <v>32</v>
      </c>
      <c r="Q18" s="5">
        <v>51</v>
      </c>
      <c r="R18" s="5">
        <v>204</v>
      </c>
      <c r="S18" s="5">
        <v>16</v>
      </c>
      <c r="T18" s="5">
        <v>32</v>
      </c>
    </row>
    <row r="19" spans="1:21" x14ac:dyDescent="0.25">
      <c r="A19" s="3" t="s">
        <v>23</v>
      </c>
      <c r="B19" s="4">
        <v>1</v>
      </c>
      <c r="C19" s="5">
        <v>53.3</v>
      </c>
      <c r="D19" s="5">
        <v>0</v>
      </c>
      <c r="E19" s="5">
        <v>3</v>
      </c>
      <c r="F19" s="4">
        <v>8</v>
      </c>
      <c r="G19" s="4">
        <v>84.6</v>
      </c>
      <c r="H19" s="32">
        <v>16</v>
      </c>
      <c r="I19" s="35">
        <v>187.8</v>
      </c>
      <c r="J19" s="34">
        <v>20</v>
      </c>
      <c r="K19" s="5">
        <v>28</v>
      </c>
      <c r="L19" s="5">
        <v>35</v>
      </c>
      <c r="M19" s="5">
        <v>2</v>
      </c>
      <c r="N19" s="5">
        <v>25.26</v>
      </c>
      <c r="O19" s="5">
        <v>28</v>
      </c>
      <c r="P19" s="5">
        <v>30</v>
      </c>
      <c r="Q19" s="5">
        <v>45</v>
      </c>
      <c r="R19" s="5">
        <v>180</v>
      </c>
      <c r="S19" s="5">
        <v>14</v>
      </c>
      <c r="T19" s="5">
        <v>28</v>
      </c>
    </row>
    <row r="20" spans="1:21" x14ac:dyDescent="0.25">
      <c r="A20" s="38" t="s">
        <v>24</v>
      </c>
      <c r="B20" s="4">
        <v>20.399999999999999</v>
      </c>
      <c r="C20" s="5">
        <v>70.8</v>
      </c>
      <c r="D20" s="5">
        <v>1</v>
      </c>
      <c r="E20" s="5">
        <v>8</v>
      </c>
      <c r="F20" s="4">
        <v>4</v>
      </c>
      <c r="G20" s="4">
        <v>70.16</v>
      </c>
      <c r="H20" s="4">
        <v>14</v>
      </c>
      <c r="I20" s="37">
        <v>190.86</v>
      </c>
      <c r="J20" s="4">
        <v>38.9</v>
      </c>
      <c r="K20" s="5">
        <v>16</v>
      </c>
      <c r="L20" s="5">
        <v>20</v>
      </c>
      <c r="M20" s="5">
        <v>2</v>
      </c>
      <c r="N20" s="5">
        <v>19.600000000000001</v>
      </c>
      <c r="O20" s="5">
        <v>30</v>
      </c>
      <c r="P20" s="5">
        <v>35</v>
      </c>
      <c r="Q20" s="5">
        <v>52</v>
      </c>
      <c r="R20" s="5">
        <v>208</v>
      </c>
      <c r="S20" s="5">
        <v>11</v>
      </c>
      <c r="T20" s="5">
        <v>22</v>
      </c>
    </row>
    <row r="21" spans="1:21" x14ac:dyDescent="0.25">
      <c r="A21" s="3" t="s">
        <v>25</v>
      </c>
      <c r="B21" s="4">
        <v>2</v>
      </c>
      <c r="C21" s="5">
        <v>42.78</v>
      </c>
      <c r="D21" s="5">
        <v>2</v>
      </c>
      <c r="E21" s="5">
        <v>4</v>
      </c>
      <c r="F21" s="4">
        <v>4</v>
      </c>
      <c r="G21" s="4">
        <v>58.6</v>
      </c>
      <c r="H21" s="32">
        <v>8</v>
      </c>
      <c r="I21" s="35">
        <v>190.8</v>
      </c>
      <c r="J21" s="34">
        <v>21</v>
      </c>
      <c r="K21" s="5">
        <v>16</v>
      </c>
      <c r="L21" s="5">
        <v>20</v>
      </c>
      <c r="M21" s="5">
        <v>4</v>
      </c>
      <c r="N21" s="5">
        <v>55.54</v>
      </c>
      <c r="O21" s="5">
        <v>25</v>
      </c>
      <c r="P21" s="5">
        <v>28</v>
      </c>
      <c r="Q21" s="5">
        <v>36</v>
      </c>
      <c r="R21" s="5">
        <v>144</v>
      </c>
      <c r="S21" s="5">
        <v>6</v>
      </c>
      <c r="T21" s="5">
        <v>12</v>
      </c>
    </row>
    <row r="22" spans="1:21" x14ac:dyDescent="0.25">
      <c r="A22" s="3" t="s">
        <v>26</v>
      </c>
      <c r="B22" s="4">
        <v>1</v>
      </c>
      <c r="C22" s="5">
        <v>63</v>
      </c>
      <c r="D22" s="5">
        <v>1</v>
      </c>
      <c r="E22" s="5">
        <v>7</v>
      </c>
      <c r="F22" s="4">
        <v>6</v>
      </c>
      <c r="G22" s="4">
        <v>60.64</v>
      </c>
      <c r="H22" s="32">
        <v>20</v>
      </c>
      <c r="I22" s="35">
        <v>206.4</v>
      </c>
      <c r="J22" s="34">
        <v>20</v>
      </c>
      <c r="K22" s="5">
        <v>11</v>
      </c>
      <c r="L22" s="5">
        <v>22</v>
      </c>
      <c r="M22" s="5">
        <v>4</v>
      </c>
      <c r="N22" s="5">
        <v>20.2</v>
      </c>
      <c r="O22" s="5">
        <v>42</v>
      </c>
      <c r="P22" s="5">
        <v>48</v>
      </c>
      <c r="Q22" s="5">
        <v>37</v>
      </c>
      <c r="R22" s="5">
        <v>111</v>
      </c>
      <c r="S22" s="5">
        <v>6</v>
      </c>
      <c r="T22" s="5">
        <v>12</v>
      </c>
    </row>
    <row r="23" spans="1:21" x14ac:dyDescent="0.25">
      <c r="A23" s="3" t="s">
        <v>27</v>
      </c>
      <c r="B23" s="39">
        <v>1</v>
      </c>
      <c r="C23" s="39">
        <v>56.52</v>
      </c>
      <c r="D23" s="39">
        <v>5</v>
      </c>
      <c r="E23" s="39">
        <v>6</v>
      </c>
      <c r="F23" s="39">
        <v>6</v>
      </c>
      <c r="G23" s="39">
        <v>92.7</v>
      </c>
      <c r="H23" s="40">
        <v>11</v>
      </c>
      <c r="I23" s="41">
        <v>197.4</v>
      </c>
      <c r="J23" s="42">
        <v>33</v>
      </c>
      <c r="K23" s="39">
        <v>16</v>
      </c>
      <c r="L23" s="39">
        <v>32</v>
      </c>
      <c r="M23" s="39">
        <v>3</v>
      </c>
      <c r="N23" s="39">
        <v>4.8099999999999996</v>
      </c>
      <c r="O23" s="39">
        <v>34</v>
      </c>
      <c r="P23" s="39">
        <v>68</v>
      </c>
      <c r="Q23" s="39">
        <v>28</v>
      </c>
      <c r="R23" s="39">
        <v>84</v>
      </c>
      <c r="S23" s="39">
        <v>5</v>
      </c>
      <c r="T23" s="39">
        <v>10</v>
      </c>
    </row>
    <row r="24" spans="1:21" x14ac:dyDescent="0.25">
      <c r="A24" s="48" t="s">
        <v>128</v>
      </c>
      <c r="B24" s="43">
        <f>AVERAGE(B2:B23)</f>
        <v>4.6454545454545464</v>
      </c>
      <c r="C24" s="43">
        <f t="shared" ref="C24:T24" si="0">AVERAGE(C2:C23)</f>
        <v>73.070909090909083</v>
      </c>
      <c r="D24" s="43">
        <f t="shared" si="0"/>
        <v>2.2727272727272729</v>
      </c>
      <c r="E24" s="43">
        <f t="shared" si="0"/>
        <v>6.5909090909090908</v>
      </c>
      <c r="F24" s="43">
        <f t="shared" si="0"/>
        <v>5.7272727272727275</v>
      </c>
      <c r="G24" s="43">
        <f>AVERAGE(G2:G23)</f>
        <v>96.49227272727272</v>
      </c>
      <c r="H24" s="43">
        <f t="shared" si="0"/>
        <v>9.8636363636363633</v>
      </c>
      <c r="I24" s="43">
        <f t="shared" si="0"/>
        <v>151.10500000000002</v>
      </c>
      <c r="J24" s="43">
        <f t="shared" si="0"/>
        <v>43.699545454545458</v>
      </c>
      <c r="K24" s="43">
        <f t="shared" si="0"/>
        <v>28.681818181818183</v>
      </c>
      <c r="L24" s="43">
        <f t="shared" si="0"/>
        <v>50.909090909090907</v>
      </c>
      <c r="M24" s="43">
        <f t="shared" si="0"/>
        <v>1.6363636363636365</v>
      </c>
      <c r="N24" s="43">
        <f t="shared" si="0"/>
        <v>12.336363636363636</v>
      </c>
      <c r="O24" s="43">
        <f t="shared" si="0"/>
        <v>20.181818181818183</v>
      </c>
      <c r="P24" s="43">
        <f t="shared" si="0"/>
        <v>33.454545454545453</v>
      </c>
      <c r="Q24" s="43">
        <f t="shared" si="0"/>
        <v>33.136363636363633</v>
      </c>
      <c r="R24" s="43">
        <f t="shared" si="0"/>
        <v>110.63636363636364</v>
      </c>
      <c r="S24" s="43">
        <f t="shared" si="0"/>
        <v>19.136363636363637</v>
      </c>
      <c r="T24" s="43">
        <f t="shared" si="0"/>
        <v>40.136363636363633</v>
      </c>
    </row>
    <row r="25" spans="1:21" x14ac:dyDescent="0.25">
      <c r="A25" s="80" t="s">
        <v>149</v>
      </c>
      <c r="B25" s="81">
        <f>_xlfn.STDEV.S(B2:B23)</f>
        <v>7.6220686651283023</v>
      </c>
      <c r="C25" s="81">
        <f t="shared" ref="C25:T25" si="1">_xlfn.STDEV.S(C2:C23)</f>
        <v>29.884767725236632</v>
      </c>
      <c r="D25" s="81">
        <f t="shared" si="1"/>
        <v>2.3336425274423345</v>
      </c>
      <c r="E25" s="81">
        <f t="shared" si="1"/>
        <v>2.6124079552541803</v>
      </c>
      <c r="F25" s="81">
        <f t="shared" si="1"/>
        <v>3.4666000659603089</v>
      </c>
      <c r="G25" s="81">
        <f t="shared" si="1"/>
        <v>67.508599235795259</v>
      </c>
      <c r="H25" s="81">
        <f t="shared" si="1"/>
        <v>4.549154338424362</v>
      </c>
      <c r="I25" s="81">
        <f t="shared" si="1"/>
        <v>77.943621978599708</v>
      </c>
      <c r="J25" s="81">
        <f t="shared" si="1"/>
        <v>29.959482873862548</v>
      </c>
      <c r="K25" s="81">
        <f t="shared" si="1"/>
        <v>16.403792719502878</v>
      </c>
      <c r="L25" s="81">
        <f t="shared" si="1"/>
        <v>35.816874303161704</v>
      </c>
      <c r="M25" s="81">
        <f t="shared" si="1"/>
        <v>1.6774542658006548</v>
      </c>
      <c r="N25" s="81">
        <f t="shared" si="1"/>
        <v>15.23081980267221</v>
      </c>
      <c r="O25" s="81">
        <f t="shared" si="1"/>
        <v>12.234363640159373</v>
      </c>
      <c r="P25" s="81">
        <f t="shared" si="1"/>
        <v>22.308928967754404</v>
      </c>
      <c r="Q25" s="81">
        <f t="shared" si="1"/>
        <v>12.892579831772021</v>
      </c>
      <c r="R25" s="81">
        <f t="shared" si="1"/>
        <v>65.089349179596013</v>
      </c>
      <c r="S25" s="81">
        <f t="shared" si="1"/>
        <v>13.057730622291494</v>
      </c>
      <c r="T25" s="81">
        <f t="shared" si="1"/>
        <v>28.156527543183365</v>
      </c>
    </row>
    <row r="27" spans="1:21" ht="15" customHeight="1" x14ac:dyDescent="0.25">
      <c r="A27" s="15"/>
      <c r="B27" s="14" t="s">
        <v>0</v>
      </c>
      <c r="C27" s="12" t="s">
        <v>1</v>
      </c>
      <c r="D27" s="12" t="s">
        <v>2</v>
      </c>
      <c r="E27" s="12" t="s">
        <v>3</v>
      </c>
      <c r="F27" s="12" t="s">
        <v>4</v>
      </c>
      <c r="G27" s="12" t="s">
        <v>5</v>
      </c>
      <c r="H27" s="12" t="s">
        <v>6</v>
      </c>
      <c r="I27" s="12" t="s">
        <v>7</v>
      </c>
      <c r="J27" s="12" t="s">
        <v>8</v>
      </c>
      <c r="K27" s="12" t="s">
        <v>9</v>
      </c>
      <c r="L27" s="12" t="s">
        <v>10</v>
      </c>
      <c r="M27" s="12" t="s">
        <v>11</v>
      </c>
      <c r="N27" s="12" t="s">
        <v>12</v>
      </c>
      <c r="O27" s="12" t="s">
        <v>13</v>
      </c>
      <c r="P27" s="12" t="s">
        <v>14</v>
      </c>
      <c r="Q27" s="12" t="s">
        <v>15</v>
      </c>
      <c r="R27" s="12" t="s">
        <v>16</v>
      </c>
      <c r="S27" s="12" t="s">
        <v>17</v>
      </c>
      <c r="T27" s="12" t="s">
        <v>18</v>
      </c>
    </row>
    <row r="28" spans="1:21" ht="15" customHeight="1" x14ac:dyDescent="0.25">
      <c r="A28" s="15" t="s">
        <v>72</v>
      </c>
      <c r="B28" s="43">
        <v>4.6454545454545464</v>
      </c>
      <c r="C28" s="43">
        <v>73.070909090909083</v>
      </c>
      <c r="D28" s="43">
        <v>2.2727272727272729</v>
      </c>
      <c r="E28" s="43">
        <v>6.5909090909090908</v>
      </c>
      <c r="F28" s="43">
        <v>5.7272727272727275</v>
      </c>
      <c r="G28" s="43">
        <v>96.49227272727272</v>
      </c>
      <c r="H28" s="43">
        <v>9.8636363636363633</v>
      </c>
      <c r="I28" s="43">
        <v>151.10500000000002</v>
      </c>
      <c r="J28" s="43">
        <v>43.699545454545458</v>
      </c>
      <c r="K28" s="43">
        <v>28.681818181818183</v>
      </c>
      <c r="L28" s="43">
        <v>50.909090909090907</v>
      </c>
      <c r="M28" s="43">
        <v>1.6363636363636365</v>
      </c>
      <c r="N28" s="43">
        <v>12.336363636363636</v>
      </c>
      <c r="O28" s="43">
        <v>20.181818181818183</v>
      </c>
      <c r="P28" s="43">
        <v>33.454545454545453</v>
      </c>
      <c r="Q28" s="43">
        <v>33.136363636363633</v>
      </c>
      <c r="R28" s="43">
        <v>110.63636363636364</v>
      </c>
      <c r="S28" s="43">
        <v>19.136363636363637</v>
      </c>
      <c r="T28" s="43">
        <v>40.136363636363633</v>
      </c>
    </row>
    <row r="29" spans="1:21" ht="15" customHeight="1" x14ac:dyDescent="0.25">
      <c r="A29" s="15" t="s">
        <v>73</v>
      </c>
      <c r="B29" s="17">
        <v>3.75</v>
      </c>
      <c r="C29" s="47">
        <v>71.919999999999987</v>
      </c>
      <c r="D29" s="47">
        <v>2.8636363636363638</v>
      </c>
      <c r="E29" s="47">
        <v>5.4761904761904763</v>
      </c>
      <c r="F29" s="47">
        <v>5.8181818181818183</v>
      </c>
      <c r="G29" s="47">
        <v>88.403636363636352</v>
      </c>
      <c r="H29" s="49">
        <v>7.7727272727272725</v>
      </c>
      <c r="I29" s="47">
        <v>141.17499999999998</v>
      </c>
      <c r="J29" s="49">
        <v>76.600952380952393</v>
      </c>
      <c r="K29" s="47">
        <v>30.227272727272727</v>
      </c>
      <c r="L29" s="47">
        <v>60.5</v>
      </c>
      <c r="M29" s="47">
        <v>1.5909090909090908</v>
      </c>
      <c r="N29" s="47">
        <v>16.450909090909089</v>
      </c>
      <c r="O29" s="47">
        <v>16.681818181818183</v>
      </c>
      <c r="P29" s="47">
        <v>33.545454545454547</v>
      </c>
      <c r="Q29" s="47">
        <v>27.09090909090909</v>
      </c>
      <c r="R29" s="47">
        <v>74.5</v>
      </c>
      <c r="S29" s="47">
        <v>20.90909090909091</v>
      </c>
      <c r="T29" s="22">
        <v>41.090909090909093</v>
      </c>
      <c r="U29" s="22"/>
    </row>
    <row r="31" spans="1:21" ht="15" customHeight="1" x14ac:dyDescent="0.25">
      <c r="B31" s="25"/>
      <c r="C31" s="12" t="s">
        <v>1</v>
      </c>
      <c r="D31" s="12" t="s">
        <v>4</v>
      </c>
      <c r="E31" s="12" t="s">
        <v>5</v>
      </c>
      <c r="F31" s="12" t="s">
        <v>6</v>
      </c>
      <c r="G31" s="12" t="s">
        <v>7</v>
      </c>
      <c r="H31" s="12" t="s">
        <v>8</v>
      </c>
    </row>
    <row r="32" spans="1:21" ht="15" customHeight="1" x14ac:dyDescent="0.25">
      <c r="B32" s="29" t="s">
        <v>129</v>
      </c>
      <c r="C32" s="13">
        <v>73.070909090909083</v>
      </c>
      <c r="D32" s="13">
        <v>5.7272727272727275</v>
      </c>
      <c r="E32" s="13">
        <v>96.49227272727272</v>
      </c>
      <c r="F32" s="13">
        <v>9.8636363636363633</v>
      </c>
      <c r="G32" s="45">
        <v>151.10500000000002</v>
      </c>
      <c r="H32" s="13">
        <v>43.699545454545458</v>
      </c>
    </row>
    <row r="33" spans="2:8" ht="15" customHeight="1" x14ac:dyDescent="0.25">
      <c r="B33" s="30" t="s">
        <v>130</v>
      </c>
      <c r="C33" s="13">
        <v>71.919999999999987</v>
      </c>
      <c r="D33" s="13">
        <v>5.8181818181818183</v>
      </c>
      <c r="E33" s="13">
        <v>88.403636363636352</v>
      </c>
      <c r="F33" s="13">
        <v>7.7727272727272725</v>
      </c>
      <c r="G33" s="45">
        <v>141.17499999999998</v>
      </c>
      <c r="H33" s="13">
        <v>76.600952380952393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T25"/>
  <sheetViews>
    <sheetView topLeftCell="A4" workbookViewId="0">
      <selection activeCell="C12" sqref="C12"/>
    </sheetView>
  </sheetViews>
  <sheetFormatPr baseColWidth="10" defaultColWidth="14.42578125" defaultRowHeight="15" customHeight="1" x14ac:dyDescent="0.25"/>
  <sheetData>
    <row r="1" spans="1:20" x14ac:dyDescent="0.25">
      <c r="A1" s="1"/>
      <c r="B1" s="1" t="s">
        <v>0</v>
      </c>
      <c r="C1" s="2" t="s">
        <v>1</v>
      </c>
      <c r="D1" s="2" t="s">
        <v>2</v>
      </c>
      <c r="E1" s="2" t="s">
        <v>3</v>
      </c>
      <c r="F1" s="1" t="s">
        <v>4</v>
      </c>
      <c r="G1" s="12" t="s">
        <v>5</v>
      </c>
      <c r="H1" s="1" t="s">
        <v>6</v>
      </c>
      <c r="I1" s="12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 x14ac:dyDescent="0.25">
      <c r="A2" s="9" t="s">
        <v>49</v>
      </c>
      <c r="B2" s="6">
        <v>1</v>
      </c>
      <c r="C2" s="6">
        <v>188.4</v>
      </c>
      <c r="D2" s="6">
        <v>0</v>
      </c>
      <c r="E2" s="6">
        <v>8</v>
      </c>
      <c r="F2" s="31">
        <v>3</v>
      </c>
      <c r="G2" s="35">
        <v>71.400000000000006</v>
      </c>
      <c r="H2" s="50">
        <v>3</v>
      </c>
      <c r="I2" s="35">
        <v>52.46</v>
      </c>
      <c r="J2" s="33">
        <v>174.78</v>
      </c>
      <c r="K2" s="6">
        <v>29</v>
      </c>
      <c r="L2" s="6">
        <v>65</v>
      </c>
      <c r="M2" s="6">
        <v>1</v>
      </c>
      <c r="N2" s="7">
        <v>5</v>
      </c>
      <c r="O2" s="7">
        <v>8</v>
      </c>
      <c r="P2" s="7">
        <v>16</v>
      </c>
      <c r="Q2" s="7">
        <v>13</v>
      </c>
      <c r="R2" s="7">
        <v>30</v>
      </c>
      <c r="S2" s="7">
        <v>34</v>
      </c>
      <c r="T2" s="7">
        <v>68</v>
      </c>
    </row>
    <row r="3" spans="1:20" x14ac:dyDescent="0.25">
      <c r="A3" s="9" t="s">
        <v>50</v>
      </c>
      <c r="B3" s="6">
        <v>6</v>
      </c>
      <c r="C3" s="6">
        <v>153.6</v>
      </c>
      <c r="D3" s="6">
        <v>1</v>
      </c>
      <c r="E3" s="6">
        <v>5</v>
      </c>
      <c r="F3" s="31">
        <v>5</v>
      </c>
      <c r="G3" s="35">
        <v>86.4</v>
      </c>
      <c r="H3" s="50">
        <v>7</v>
      </c>
      <c r="I3" s="35">
        <v>68.400000000000006</v>
      </c>
      <c r="J3" s="33">
        <v>145.4</v>
      </c>
      <c r="K3" s="6">
        <v>34</v>
      </c>
      <c r="L3" s="6">
        <v>68</v>
      </c>
      <c r="M3" s="6">
        <v>0</v>
      </c>
      <c r="N3" s="7">
        <v>0</v>
      </c>
      <c r="O3" s="7">
        <v>7</v>
      </c>
      <c r="P3" s="7">
        <v>14</v>
      </c>
      <c r="Q3" s="7">
        <v>13</v>
      </c>
      <c r="R3" s="7">
        <v>30</v>
      </c>
      <c r="S3" s="7">
        <v>34</v>
      </c>
      <c r="T3" s="7">
        <v>72</v>
      </c>
    </row>
    <row r="4" spans="1:20" x14ac:dyDescent="0.25">
      <c r="A4" s="9" t="s">
        <v>51</v>
      </c>
      <c r="B4" s="6">
        <v>33.5</v>
      </c>
      <c r="C4" s="6">
        <v>248.4</v>
      </c>
      <c r="D4" s="6">
        <v>0</v>
      </c>
      <c r="E4" s="6">
        <v>5</v>
      </c>
      <c r="F4" s="31">
        <v>1</v>
      </c>
      <c r="G4" s="35">
        <v>6.82</v>
      </c>
      <c r="H4" s="50">
        <v>5</v>
      </c>
      <c r="I4" s="35">
        <v>76.8</v>
      </c>
      <c r="J4" s="33">
        <v>231</v>
      </c>
      <c r="K4" s="6">
        <v>23</v>
      </c>
      <c r="L4" s="6">
        <v>40</v>
      </c>
      <c r="M4" s="6">
        <v>1</v>
      </c>
      <c r="N4" s="7">
        <v>4</v>
      </c>
      <c r="O4" s="7">
        <v>10</v>
      </c>
      <c r="P4" s="7">
        <v>20</v>
      </c>
      <c r="Q4" s="7">
        <v>22</v>
      </c>
      <c r="R4" s="7">
        <v>45</v>
      </c>
      <c r="S4" s="7">
        <v>44</v>
      </c>
      <c r="T4" s="7">
        <v>100</v>
      </c>
    </row>
    <row r="5" spans="1:20" x14ac:dyDescent="0.25">
      <c r="A5" s="9" t="s">
        <v>52</v>
      </c>
      <c r="B5" s="6">
        <v>1</v>
      </c>
      <c r="C5" s="6">
        <v>56.2</v>
      </c>
      <c r="D5" s="6">
        <v>2</v>
      </c>
      <c r="E5" s="6">
        <v>5</v>
      </c>
      <c r="F5" s="31">
        <v>14</v>
      </c>
      <c r="G5" s="35">
        <v>188.4</v>
      </c>
      <c r="H5" s="50">
        <v>10</v>
      </c>
      <c r="I5" s="35">
        <v>61.8</v>
      </c>
      <c r="J5" s="33">
        <v>23.85</v>
      </c>
      <c r="K5" s="6">
        <v>76</v>
      </c>
      <c r="L5" s="6">
        <v>152</v>
      </c>
      <c r="M5" s="6">
        <v>0</v>
      </c>
      <c r="N5" s="7">
        <v>0</v>
      </c>
      <c r="O5" s="7">
        <v>17</v>
      </c>
      <c r="P5" s="7">
        <v>34</v>
      </c>
      <c r="Q5" s="7">
        <v>17</v>
      </c>
      <c r="R5" s="7">
        <v>36</v>
      </c>
      <c r="S5" s="7">
        <v>31</v>
      </c>
      <c r="T5" s="7">
        <v>65</v>
      </c>
    </row>
    <row r="6" spans="1:20" x14ac:dyDescent="0.25">
      <c r="A6" s="9" t="s">
        <v>53</v>
      </c>
      <c r="B6" s="6">
        <v>1</v>
      </c>
      <c r="C6" s="6">
        <v>56.97</v>
      </c>
      <c r="D6" s="6">
        <v>0</v>
      </c>
      <c r="E6" s="6">
        <v>5</v>
      </c>
      <c r="F6" s="31">
        <v>3</v>
      </c>
      <c r="G6" s="35">
        <v>41.53</v>
      </c>
      <c r="H6" s="50">
        <v>5</v>
      </c>
      <c r="I6" s="35">
        <v>212.4</v>
      </c>
      <c r="J6" s="33" t="s">
        <v>54</v>
      </c>
      <c r="K6" s="6">
        <v>16</v>
      </c>
      <c r="L6" s="6">
        <v>32</v>
      </c>
      <c r="M6" s="6">
        <v>3</v>
      </c>
      <c r="N6" s="7">
        <v>10.3</v>
      </c>
      <c r="O6" s="7">
        <v>28</v>
      </c>
      <c r="P6" s="7">
        <v>57</v>
      </c>
      <c r="Q6" s="7">
        <v>18</v>
      </c>
      <c r="R6" s="7">
        <v>40</v>
      </c>
      <c r="S6" s="7">
        <v>27</v>
      </c>
      <c r="T6" s="7">
        <v>60</v>
      </c>
    </row>
    <row r="7" spans="1:20" x14ac:dyDescent="0.25">
      <c r="A7" s="9" t="s">
        <v>55</v>
      </c>
      <c r="B7" s="6">
        <v>1</v>
      </c>
      <c r="C7" s="6">
        <v>61.2</v>
      </c>
      <c r="D7" s="6">
        <v>1</v>
      </c>
      <c r="E7" s="6">
        <v>7</v>
      </c>
      <c r="F7" s="31">
        <v>2</v>
      </c>
      <c r="G7" s="35">
        <v>34.880000000000003</v>
      </c>
      <c r="H7" s="50">
        <v>8</v>
      </c>
      <c r="I7" s="35">
        <v>201.6</v>
      </c>
      <c r="J7" s="33">
        <v>45</v>
      </c>
      <c r="K7" s="6">
        <v>22</v>
      </c>
      <c r="L7" s="6">
        <v>40</v>
      </c>
      <c r="M7" s="6">
        <v>3</v>
      </c>
      <c r="N7" s="7">
        <v>34.4</v>
      </c>
      <c r="O7" s="7">
        <v>25</v>
      </c>
      <c r="P7" s="7">
        <v>50</v>
      </c>
      <c r="Q7" s="7">
        <v>22</v>
      </c>
      <c r="R7" s="7">
        <v>44</v>
      </c>
      <c r="S7" s="7">
        <v>24</v>
      </c>
      <c r="T7" s="7">
        <v>50</v>
      </c>
    </row>
    <row r="8" spans="1:20" x14ac:dyDescent="0.25">
      <c r="A8" s="9" t="s">
        <v>56</v>
      </c>
      <c r="B8" s="6">
        <v>1</v>
      </c>
      <c r="C8" s="6">
        <v>5.84</v>
      </c>
      <c r="D8" s="6">
        <v>3</v>
      </c>
      <c r="E8" s="6">
        <v>0</v>
      </c>
      <c r="F8" s="31">
        <v>3</v>
      </c>
      <c r="G8" s="35">
        <v>60.6</v>
      </c>
      <c r="H8" s="50">
        <v>2</v>
      </c>
      <c r="I8" s="35">
        <v>213.6</v>
      </c>
      <c r="J8" s="33">
        <v>2</v>
      </c>
      <c r="K8" s="6">
        <v>13</v>
      </c>
      <c r="L8" s="6">
        <v>26</v>
      </c>
      <c r="M8" s="6">
        <v>4</v>
      </c>
      <c r="N8" s="7">
        <v>27.3</v>
      </c>
      <c r="O8" s="7">
        <v>23</v>
      </c>
      <c r="P8" s="7">
        <v>45</v>
      </c>
      <c r="Q8" s="7">
        <v>20</v>
      </c>
      <c r="R8" s="7">
        <v>40</v>
      </c>
      <c r="S8" s="7">
        <v>16</v>
      </c>
      <c r="T8" s="7">
        <v>32</v>
      </c>
    </row>
    <row r="9" spans="1:20" x14ac:dyDescent="0.25">
      <c r="A9" s="9" t="s">
        <v>57</v>
      </c>
      <c r="B9" s="6">
        <v>1</v>
      </c>
      <c r="C9" s="6">
        <v>62.4</v>
      </c>
      <c r="D9" s="6">
        <v>6</v>
      </c>
      <c r="E9" s="6"/>
      <c r="F9" s="31">
        <v>6</v>
      </c>
      <c r="G9" s="35">
        <v>93</v>
      </c>
      <c r="H9" s="50">
        <v>8</v>
      </c>
      <c r="I9" s="35">
        <v>133.80000000000001</v>
      </c>
      <c r="J9" s="33">
        <v>34.700000000000003</v>
      </c>
      <c r="K9" s="6">
        <v>42</v>
      </c>
      <c r="L9" s="6">
        <v>84</v>
      </c>
      <c r="M9" s="6">
        <v>3</v>
      </c>
      <c r="N9" s="7">
        <v>17</v>
      </c>
      <c r="O9" s="7">
        <v>25</v>
      </c>
      <c r="P9" s="7">
        <v>50</v>
      </c>
      <c r="Q9" s="7">
        <v>17</v>
      </c>
      <c r="R9" s="7">
        <v>51</v>
      </c>
      <c r="S9" s="7">
        <v>17</v>
      </c>
      <c r="T9" s="7">
        <v>34</v>
      </c>
    </row>
    <row r="10" spans="1:20" x14ac:dyDescent="0.25">
      <c r="A10" s="9" t="s">
        <v>58</v>
      </c>
      <c r="B10" s="4">
        <v>1</v>
      </c>
      <c r="C10" s="5">
        <v>77.400000000000006</v>
      </c>
      <c r="D10" s="5">
        <v>8</v>
      </c>
      <c r="E10" s="5">
        <v>10</v>
      </c>
      <c r="F10" s="32">
        <v>10</v>
      </c>
      <c r="G10" s="35">
        <v>195.6</v>
      </c>
      <c r="H10" s="51">
        <v>4</v>
      </c>
      <c r="I10" s="35">
        <v>39.729999999999997</v>
      </c>
      <c r="J10" s="34">
        <v>52.47</v>
      </c>
      <c r="K10" s="4">
        <v>55</v>
      </c>
      <c r="L10" s="4">
        <v>110</v>
      </c>
      <c r="M10" s="4">
        <v>0</v>
      </c>
      <c r="N10" s="4">
        <v>0</v>
      </c>
      <c r="O10" s="4">
        <v>4</v>
      </c>
      <c r="P10" s="4">
        <v>8</v>
      </c>
      <c r="Q10" s="4">
        <v>33</v>
      </c>
      <c r="R10" s="4">
        <v>132</v>
      </c>
      <c r="S10" s="4">
        <v>20</v>
      </c>
      <c r="T10" s="4">
        <v>40</v>
      </c>
    </row>
    <row r="11" spans="1:20" x14ac:dyDescent="0.25">
      <c r="A11" s="9" t="s">
        <v>59</v>
      </c>
      <c r="B11" s="4">
        <v>1</v>
      </c>
      <c r="C11" s="5">
        <v>53.9</v>
      </c>
      <c r="D11" s="5">
        <v>8</v>
      </c>
      <c r="E11" s="5">
        <v>5</v>
      </c>
      <c r="F11" s="32">
        <v>9</v>
      </c>
      <c r="G11" s="35">
        <v>189</v>
      </c>
      <c r="H11" s="51">
        <v>4</v>
      </c>
      <c r="I11" s="35">
        <v>63.6</v>
      </c>
      <c r="J11" s="34">
        <v>76.12</v>
      </c>
      <c r="K11" s="4">
        <v>70</v>
      </c>
      <c r="L11" s="4">
        <v>140</v>
      </c>
      <c r="M11" s="4">
        <v>0</v>
      </c>
      <c r="N11" s="4">
        <v>0</v>
      </c>
      <c r="O11" s="4">
        <v>9</v>
      </c>
      <c r="P11" s="4">
        <v>18</v>
      </c>
      <c r="Q11" s="4">
        <v>18</v>
      </c>
      <c r="R11" s="4">
        <v>36</v>
      </c>
      <c r="S11" s="4">
        <v>23</v>
      </c>
      <c r="T11" s="4">
        <v>46</v>
      </c>
    </row>
    <row r="12" spans="1:20" x14ac:dyDescent="0.25">
      <c r="A12" s="9" t="s">
        <v>60</v>
      </c>
      <c r="B12" s="4">
        <v>1</v>
      </c>
      <c r="C12" s="5">
        <v>61.2</v>
      </c>
      <c r="D12" s="5">
        <v>10</v>
      </c>
      <c r="E12" s="5">
        <v>4</v>
      </c>
      <c r="F12" s="32">
        <v>14</v>
      </c>
      <c r="G12" s="35">
        <v>139.19999999999999</v>
      </c>
      <c r="H12" s="51">
        <v>14</v>
      </c>
      <c r="I12" s="35">
        <v>87</v>
      </c>
      <c r="J12" s="34">
        <v>27.3</v>
      </c>
      <c r="K12" s="4">
        <v>56</v>
      </c>
      <c r="L12" s="4">
        <v>112</v>
      </c>
      <c r="M12" s="4">
        <v>0</v>
      </c>
      <c r="N12" s="4">
        <v>0</v>
      </c>
      <c r="O12" s="4">
        <v>15</v>
      </c>
      <c r="P12" s="4">
        <v>30</v>
      </c>
      <c r="Q12" s="4">
        <v>46</v>
      </c>
      <c r="R12" s="4">
        <v>184</v>
      </c>
      <c r="S12" s="4">
        <v>22</v>
      </c>
      <c r="T12" s="4">
        <v>44</v>
      </c>
    </row>
    <row r="13" spans="1:20" x14ac:dyDescent="0.25">
      <c r="A13" s="9" t="s">
        <v>61</v>
      </c>
      <c r="B13" s="4">
        <v>1</v>
      </c>
      <c r="C13" s="5">
        <v>56.16</v>
      </c>
      <c r="D13" s="5">
        <v>8</v>
      </c>
      <c r="E13" s="5">
        <v>6</v>
      </c>
      <c r="F13" s="32">
        <v>18</v>
      </c>
      <c r="G13" s="35">
        <v>180</v>
      </c>
      <c r="H13" s="51">
        <v>10</v>
      </c>
      <c r="I13" s="35">
        <v>53.86</v>
      </c>
      <c r="J13" s="34">
        <v>22</v>
      </c>
      <c r="K13" s="4">
        <v>56</v>
      </c>
      <c r="L13" s="4">
        <v>113</v>
      </c>
      <c r="M13" s="4">
        <v>1</v>
      </c>
      <c r="N13" s="4">
        <v>4</v>
      </c>
      <c r="O13" s="4">
        <v>14</v>
      </c>
      <c r="P13" s="4">
        <v>23</v>
      </c>
      <c r="Q13" s="4">
        <v>23</v>
      </c>
      <c r="R13" s="4">
        <v>69</v>
      </c>
      <c r="S13" s="4">
        <v>20</v>
      </c>
      <c r="T13" s="4">
        <v>40</v>
      </c>
    </row>
    <row r="14" spans="1:20" x14ac:dyDescent="0.25">
      <c r="A14" s="9" t="s">
        <v>62</v>
      </c>
      <c r="B14" s="4">
        <v>1</v>
      </c>
      <c r="C14" s="5">
        <v>61.8</v>
      </c>
      <c r="D14" s="5">
        <v>2</v>
      </c>
      <c r="E14" s="5">
        <v>5</v>
      </c>
      <c r="F14" s="32">
        <v>5</v>
      </c>
      <c r="G14" s="35">
        <v>43.32</v>
      </c>
      <c r="H14" s="51">
        <v>15</v>
      </c>
      <c r="I14" s="35">
        <v>205.2</v>
      </c>
      <c r="J14" s="34">
        <v>276.68</v>
      </c>
      <c r="K14" s="4">
        <v>16</v>
      </c>
      <c r="L14" s="4">
        <v>32</v>
      </c>
      <c r="M14" s="4">
        <v>1</v>
      </c>
      <c r="N14" s="4">
        <v>17.12</v>
      </c>
      <c r="O14" s="4">
        <v>22</v>
      </c>
      <c r="P14" s="4">
        <v>44</v>
      </c>
      <c r="Q14" s="4">
        <v>43</v>
      </c>
      <c r="R14" s="4">
        <v>129</v>
      </c>
      <c r="S14" s="4">
        <v>7</v>
      </c>
      <c r="T14" s="4">
        <v>14</v>
      </c>
    </row>
    <row r="15" spans="1:20" x14ac:dyDescent="0.25">
      <c r="A15" s="9" t="s">
        <v>63</v>
      </c>
      <c r="B15" s="4">
        <v>18</v>
      </c>
      <c r="C15" s="5">
        <v>66</v>
      </c>
      <c r="D15" s="5">
        <v>0</v>
      </c>
      <c r="E15" s="5">
        <v>7</v>
      </c>
      <c r="F15" s="32">
        <v>1</v>
      </c>
      <c r="G15" s="35">
        <v>17.71</v>
      </c>
      <c r="H15" s="51">
        <v>10</v>
      </c>
      <c r="I15" s="35">
        <v>242.4</v>
      </c>
      <c r="J15" s="34">
        <v>46</v>
      </c>
      <c r="K15" s="4">
        <v>15</v>
      </c>
      <c r="L15" s="4">
        <v>30</v>
      </c>
      <c r="M15" s="4">
        <v>2</v>
      </c>
      <c r="N15" s="4">
        <v>33.4</v>
      </c>
      <c r="O15" s="4">
        <v>20</v>
      </c>
      <c r="P15" s="4">
        <v>40</v>
      </c>
      <c r="Q15" s="4">
        <v>32</v>
      </c>
      <c r="R15" s="4">
        <v>96</v>
      </c>
      <c r="S15" s="4">
        <v>14</v>
      </c>
      <c r="T15" s="4">
        <v>28</v>
      </c>
    </row>
    <row r="16" spans="1:20" x14ac:dyDescent="0.25">
      <c r="A16" s="9" t="s">
        <v>64</v>
      </c>
      <c r="B16" s="4">
        <v>2</v>
      </c>
      <c r="C16" s="5">
        <v>34.299999999999997</v>
      </c>
      <c r="D16" s="5">
        <v>2</v>
      </c>
      <c r="E16" s="5">
        <v>4</v>
      </c>
      <c r="F16" s="32">
        <v>4</v>
      </c>
      <c r="G16" s="35">
        <v>78</v>
      </c>
      <c r="H16" s="51">
        <v>8</v>
      </c>
      <c r="I16" s="35">
        <v>181.8</v>
      </c>
      <c r="J16" s="34">
        <v>217.08</v>
      </c>
      <c r="K16" s="4">
        <v>28</v>
      </c>
      <c r="L16" s="4">
        <v>56</v>
      </c>
      <c r="M16" s="4">
        <v>3</v>
      </c>
      <c r="N16" s="4">
        <v>22.71</v>
      </c>
      <c r="O16" s="4">
        <v>12</v>
      </c>
      <c r="P16" s="4">
        <v>24</v>
      </c>
      <c r="Q16" s="4">
        <v>28</v>
      </c>
      <c r="R16" s="4">
        <v>84</v>
      </c>
      <c r="S16" s="4">
        <v>7</v>
      </c>
      <c r="T16" s="4">
        <v>14</v>
      </c>
    </row>
    <row r="17" spans="1:20" x14ac:dyDescent="0.25">
      <c r="A17" s="9" t="s">
        <v>65</v>
      </c>
      <c r="B17" s="4">
        <v>2</v>
      </c>
      <c r="C17" s="5">
        <v>25.48</v>
      </c>
      <c r="D17" s="5">
        <v>5</v>
      </c>
      <c r="E17" s="5">
        <v>2</v>
      </c>
      <c r="F17" s="32">
        <v>5</v>
      </c>
      <c r="G17" s="35">
        <v>69.599999999999994</v>
      </c>
      <c r="H17" s="51">
        <v>11</v>
      </c>
      <c r="I17" s="35">
        <v>191.4</v>
      </c>
      <c r="J17" s="34">
        <v>22</v>
      </c>
      <c r="K17" s="4">
        <v>22</v>
      </c>
      <c r="L17" s="4">
        <v>45</v>
      </c>
      <c r="M17" s="4">
        <v>2</v>
      </c>
      <c r="N17" s="4">
        <v>37.07</v>
      </c>
      <c r="O17" s="4">
        <v>40</v>
      </c>
      <c r="P17" s="4">
        <v>86</v>
      </c>
      <c r="Q17" s="4">
        <v>41</v>
      </c>
      <c r="R17" s="4">
        <v>164</v>
      </c>
      <c r="S17" s="4">
        <v>0</v>
      </c>
      <c r="T17" s="4">
        <v>0</v>
      </c>
    </row>
    <row r="18" spans="1:20" x14ac:dyDescent="0.25">
      <c r="A18" s="9" t="s">
        <v>28</v>
      </c>
      <c r="B18" s="4">
        <v>1</v>
      </c>
      <c r="C18" s="5">
        <v>69.599999999999994</v>
      </c>
      <c r="D18" s="5">
        <v>1</v>
      </c>
      <c r="E18" s="5">
        <v>6</v>
      </c>
      <c r="F18" s="32">
        <v>6</v>
      </c>
      <c r="G18" s="35">
        <v>75.599999999999994</v>
      </c>
      <c r="H18" s="51">
        <v>2</v>
      </c>
      <c r="I18" s="35">
        <v>151.80000000000001</v>
      </c>
      <c r="J18" s="34">
        <v>47.9</v>
      </c>
      <c r="K18" s="4">
        <v>18</v>
      </c>
      <c r="L18" s="4">
        <v>36</v>
      </c>
      <c r="M18" s="4">
        <v>2</v>
      </c>
      <c r="N18" s="4">
        <v>10</v>
      </c>
      <c r="O18" s="4">
        <v>3</v>
      </c>
      <c r="P18" s="4">
        <v>6</v>
      </c>
      <c r="Q18" s="4">
        <v>44</v>
      </c>
      <c r="R18" s="4">
        <v>88</v>
      </c>
      <c r="S18" s="4">
        <v>43</v>
      </c>
      <c r="T18" s="4">
        <v>43</v>
      </c>
    </row>
    <row r="19" spans="1:20" x14ac:dyDescent="0.25">
      <c r="A19" s="9" t="s">
        <v>29</v>
      </c>
      <c r="B19" s="4">
        <v>1</v>
      </c>
      <c r="C19" s="5">
        <v>91.8</v>
      </c>
      <c r="D19" s="5">
        <v>4</v>
      </c>
      <c r="E19" s="5">
        <v>15</v>
      </c>
      <c r="F19" s="32">
        <v>10</v>
      </c>
      <c r="G19" s="35">
        <v>136.19999999999999</v>
      </c>
      <c r="H19" s="51">
        <v>9</v>
      </c>
      <c r="I19" s="35">
        <v>88.8</v>
      </c>
      <c r="J19" s="34">
        <v>86.34</v>
      </c>
      <c r="K19" s="4">
        <v>41</v>
      </c>
      <c r="L19" s="4">
        <v>82</v>
      </c>
      <c r="M19" s="4">
        <v>0</v>
      </c>
      <c r="N19" s="4">
        <v>0</v>
      </c>
      <c r="O19" s="4">
        <v>2</v>
      </c>
      <c r="P19" s="4">
        <v>4</v>
      </c>
      <c r="Q19" s="4">
        <v>48</v>
      </c>
      <c r="R19" s="4">
        <v>144</v>
      </c>
      <c r="S19" s="4">
        <v>25</v>
      </c>
      <c r="T19" s="4">
        <v>50</v>
      </c>
    </row>
    <row r="20" spans="1:20" x14ac:dyDescent="0.25">
      <c r="A20" s="9" t="s">
        <v>30</v>
      </c>
      <c r="B20" s="4">
        <v>1</v>
      </c>
      <c r="C20" s="5">
        <v>63.6</v>
      </c>
      <c r="D20" s="5">
        <v>0</v>
      </c>
      <c r="E20" s="5">
        <v>6</v>
      </c>
      <c r="F20" s="32">
        <v>3</v>
      </c>
      <c r="G20" s="35">
        <v>133.80000000000001</v>
      </c>
      <c r="H20" s="51">
        <v>19</v>
      </c>
      <c r="I20" s="35">
        <v>78.599999999999994</v>
      </c>
      <c r="J20" s="34">
        <v>38</v>
      </c>
      <c r="K20" s="4">
        <v>6</v>
      </c>
      <c r="L20" s="4">
        <v>12</v>
      </c>
      <c r="M20" s="4">
        <v>4</v>
      </c>
      <c r="N20" s="4">
        <v>21.1</v>
      </c>
      <c r="O20" s="4">
        <v>27</v>
      </c>
      <c r="P20" s="4">
        <v>54</v>
      </c>
      <c r="Q20" s="4">
        <v>33</v>
      </c>
      <c r="R20" s="4">
        <v>66</v>
      </c>
      <c r="S20" s="4">
        <v>33</v>
      </c>
      <c r="T20" s="4">
        <v>66</v>
      </c>
    </row>
    <row r="21" spans="1:20" x14ac:dyDescent="0.25">
      <c r="A21" s="9" t="s">
        <v>31</v>
      </c>
      <c r="B21" s="4">
        <v>1</v>
      </c>
      <c r="C21" s="5">
        <v>9.86</v>
      </c>
      <c r="D21" s="5">
        <v>0</v>
      </c>
      <c r="E21" s="5">
        <v>0</v>
      </c>
      <c r="F21" s="32">
        <v>1</v>
      </c>
      <c r="G21" s="35">
        <v>28.36</v>
      </c>
      <c r="H21" s="51">
        <v>5</v>
      </c>
      <c r="I21" s="35">
        <v>247.2</v>
      </c>
      <c r="J21" s="34">
        <v>14</v>
      </c>
      <c r="K21" s="4">
        <v>0</v>
      </c>
      <c r="L21" s="4">
        <v>0</v>
      </c>
      <c r="M21" s="4">
        <v>3</v>
      </c>
      <c r="N21" s="4">
        <v>106.28</v>
      </c>
      <c r="O21" s="4">
        <v>7</v>
      </c>
      <c r="P21" s="4">
        <v>14</v>
      </c>
      <c r="Q21" s="4">
        <v>5</v>
      </c>
      <c r="R21" s="4">
        <v>10</v>
      </c>
      <c r="S21" s="4">
        <v>2</v>
      </c>
      <c r="T21" s="4">
        <v>4</v>
      </c>
    </row>
    <row r="22" spans="1:20" x14ac:dyDescent="0.25">
      <c r="A22" s="9" t="s">
        <v>32</v>
      </c>
      <c r="B22" s="4">
        <v>3</v>
      </c>
      <c r="C22" s="5">
        <v>57.63</v>
      </c>
      <c r="D22" s="5">
        <v>2</v>
      </c>
      <c r="E22" s="5">
        <v>8</v>
      </c>
      <c r="F22" s="32">
        <v>2</v>
      </c>
      <c r="G22" s="35">
        <v>7.66</v>
      </c>
      <c r="H22" s="51">
        <v>11</v>
      </c>
      <c r="I22" s="35">
        <v>261</v>
      </c>
      <c r="J22" s="34">
        <v>18</v>
      </c>
      <c r="K22" s="4">
        <v>16</v>
      </c>
      <c r="L22" s="4">
        <v>32</v>
      </c>
      <c r="M22" s="4">
        <v>1</v>
      </c>
      <c r="N22" s="4">
        <v>4.6500000000000004</v>
      </c>
      <c r="O22" s="4">
        <v>38</v>
      </c>
      <c r="P22" s="4">
        <v>76</v>
      </c>
      <c r="Q22" s="4">
        <v>34</v>
      </c>
      <c r="R22" s="4">
        <v>68</v>
      </c>
      <c r="S22" s="4">
        <v>13</v>
      </c>
      <c r="T22" s="4">
        <v>26</v>
      </c>
    </row>
    <row r="23" spans="1:20" x14ac:dyDescent="0.25">
      <c r="A23" s="44" t="s">
        <v>33</v>
      </c>
      <c r="B23" s="39">
        <v>3</v>
      </c>
      <c r="C23" s="39">
        <v>20.5</v>
      </c>
      <c r="D23" s="39">
        <v>0</v>
      </c>
      <c r="E23" s="39">
        <v>2</v>
      </c>
      <c r="F23" s="40">
        <v>3</v>
      </c>
      <c r="G23" s="35">
        <v>67.8</v>
      </c>
      <c r="H23" s="52">
        <v>1</v>
      </c>
      <c r="I23" s="35">
        <v>192.6</v>
      </c>
      <c r="J23" s="42">
        <v>8</v>
      </c>
      <c r="K23" s="39">
        <v>11</v>
      </c>
      <c r="L23" s="39">
        <v>24</v>
      </c>
      <c r="M23" s="39">
        <v>1</v>
      </c>
      <c r="N23" s="39">
        <v>7.59</v>
      </c>
      <c r="O23" s="39">
        <v>11</v>
      </c>
      <c r="P23" s="39">
        <v>25</v>
      </c>
      <c r="Q23" s="39">
        <v>26</v>
      </c>
      <c r="R23" s="39">
        <v>53</v>
      </c>
      <c r="S23" s="39">
        <v>4</v>
      </c>
      <c r="T23" s="39">
        <v>8</v>
      </c>
    </row>
    <row r="24" spans="1:20" x14ac:dyDescent="0.25">
      <c r="A24" s="17" t="s">
        <v>128</v>
      </c>
      <c r="B24" s="47">
        <f t="shared" ref="B24:T24" si="0">AVERAGE(B2:B23)</f>
        <v>3.75</v>
      </c>
      <c r="C24" s="47">
        <f t="shared" si="0"/>
        <v>71.919999999999987</v>
      </c>
      <c r="D24" s="47">
        <f t="shared" si="0"/>
        <v>2.8636363636363638</v>
      </c>
      <c r="E24" s="47">
        <f t="shared" si="0"/>
        <v>5.4761904761904763</v>
      </c>
      <c r="F24" s="47">
        <f t="shared" si="0"/>
        <v>5.8181818181818183</v>
      </c>
      <c r="G24" s="47">
        <f t="shared" si="0"/>
        <v>88.403636363636352</v>
      </c>
      <c r="H24" s="47">
        <f t="shared" si="0"/>
        <v>7.7727272727272725</v>
      </c>
      <c r="I24" s="47">
        <f t="shared" si="0"/>
        <v>141.17499999999998</v>
      </c>
      <c r="J24" s="47">
        <f t="shared" si="0"/>
        <v>76.600952380952393</v>
      </c>
      <c r="K24" s="47">
        <f t="shared" si="0"/>
        <v>30.227272727272727</v>
      </c>
      <c r="L24" s="47">
        <f t="shared" si="0"/>
        <v>60.5</v>
      </c>
      <c r="M24" s="47">
        <f t="shared" si="0"/>
        <v>1.5909090909090908</v>
      </c>
      <c r="N24" s="47">
        <f t="shared" si="0"/>
        <v>16.450909090909089</v>
      </c>
      <c r="O24" s="47">
        <f t="shared" si="0"/>
        <v>16.681818181818183</v>
      </c>
      <c r="P24" s="47">
        <f t="shared" si="0"/>
        <v>33.545454545454547</v>
      </c>
      <c r="Q24" s="47">
        <f t="shared" si="0"/>
        <v>27.09090909090909</v>
      </c>
      <c r="R24" s="47">
        <f t="shared" si="0"/>
        <v>74.5</v>
      </c>
      <c r="S24" s="22">
        <f t="shared" si="0"/>
        <v>20.90909090909091</v>
      </c>
      <c r="T24" s="22">
        <f t="shared" si="0"/>
        <v>41.090909090909093</v>
      </c>
    </row>
    <row r="25" spans="1:20" ht="15" customHeight="1" x14ac:dyDescent="0.25">
      <c r="A25" s="83" t="s">
        <v>149</v>
      </c>
      <c r="B25" s="22">
        <f>_xlfn.STDEV.S(B2:B23)</f>
        <v>7.6028660009611793</v>
      </c>
      <c r="C25" s="22">
        <f t="shared" ref="C25:T25" si="1">_xlfn.STDEV.S(C2:C23)</f>
        <v>56.914333369171111</v>
      </c>
      <c r="D25" s="22">
        <f t="shared" si="1"/>
        <v>3.2115187705901413</v>
      </c>
      <c r="E25" s="22">
        <f t="shared" si="1"/>
        <v>3.3108767361387463</v>
      </c>
      <c r="F25" s="22">
        <f t="shared" si="1"/>
        <v>4.7372522037103364</v>
      </c>
      <c r="G25" s="22">
        <f t="shared" si="1"/>
        <v>60.919820493861685</v>
      </c>
      <c r="H25" s="22">
        <f t="shared" si="1"/>
        <v>4.5870606646441399</v>
      </c>
      <c r="I25" s="22">
        <f t="shared" si="1"/>
        <v>74.972061574073493</v>
      </c>
      <c r="J25" s="22">
        <f t="shared" si="1"/>
        <v>81.688278406682187</v>
      </c>
      <c r="K25" s="22">
        <f t="shared" si="1"/>
        <v>20.973751891310918</v>
      </c>
      <c r="L25" s="22">
        <f t="shared" si="1"/>
        <v>42.114074109438022</v>
      </c>
      <c r="M25" s="22">
        <f t="shared" si="1"/>
        <v>1.3683180815491596</v>
      </c>
      <c r="N25" s="22">
        <f t="shared" si="1"/>
        <v>23.548621819766645</v>
      </c>
      <c r="O25" s="22">
        <f t="shared" si="1"/>
        <v>10.78970569189674</v>
      </c>
      <c r="P25" s="22">
        <f t="shared" si="1"/>
        <v>22.270474309588153</v>
      </c>
      <c r="Q25" s="22">
        <f t="shared" si="1"/>
        <v>12.0392575744405</v>
      </c>
      <c r="R25" s="22">
        <f t="shared" si="1"/>
        <v>47.942177474040335</v>
      </c>
      <c r="S25" s="22">
        <f t="shared" si="1"/>
        <v>12.535318070723182</v>
      </c>
      <c r="T25" s="22">
        <f t="shared" si="1"/>
        <v>24.934025501423307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T52"/>
  <sheetViews>
    <sheetView topLeftCell="A9" workbookViewId="0">
      <selection activeCell="B29" sqref="B29:T29"/>
    </sheetView>
  </sheetViews>
  <sheetFormatPr baseColWidth="10" defaultColWidth="14.42578125" defaultRowHeight="15" customHeight="1" x14ac:dyDescent="0.25"/>
  <cols>
    <col min="2" max="2" width="14.7109375" bestFit="1" customWidth="1"/>
    <col min="3" max="3" width="15.5703125" bestFit="1" customWidth="1"/>
    <col min="4" max="6" width="14.7109375" bestFit="1" customWidth="1"/>
    <col min="7" max="8" width="15.5703125" bestFit="1" customWidth="1"/>
    <col min="9" max="9" width="16.7109375" bestFit="1" customWidth="1"/>
    <col min="10" max="12" width="15.5703125" bestFit="1" customWidth="1"/>
    <col min="13" max="13" width="14.7109375" bestFit="1" customWidth="1"/>
    <col min="14" max="17" width="15.5703125" bestFit="1" customWidth="1"/>
    <col min="18" max="18" width="16.7109375" bestFit="1" customWidth="1"/>
    <col min="19" max="20" width="15.5703125" bestFit="1" customWidth="1"/>
  </cols>
  <sheetData>
    <row r="1" spans="1:20" x14ac:dyDescent="0.25">
      <c r="A1" s="11" t="s">
        <v>66</v>
      </c>
      <c r="B1" s="1" t="s">
        <v>0</v>
      </c>
      <c r="C1" s="2" t="s">
        <v>1</v>
      </c>
      <c r="D1" s="2" t="s">
        <v>2</v>
      </c>
      <c r="E1" s="2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 x14ac:dyDescent="0.25">
      <c r="A2" s="3" t="s">
        <v>36</v>
      </c>
      <c r="B2" s="6">
        <v>10</v>
      </c>
      <c r="C2" s="6">
        <v>7.44</v>
      </c>
      <c r="D2" s="6">
        <v>3</v>
      </c>
      <c r="E2" s="6">
        <v>2</v>
      </c>
      <c r="F2" s="6">
        <v>2</v>
      </c>
      <c r="G2" s="6">
        <v>290</v>
      </c>
      <c r="H2" s="6">
        <v>0</v>
      </c>
      <c r="I2" s="6">
        <v>4.68</v>
      </c>
      <c r="J2" s="6">
        <v>10</v>
      </c>
      <c r="K2" s="6">
        <v>58</v>
      </c>
      <c r="L2" s="6">
        <v>174</v>
      </c>
      <c r="M2" s="6">
        <v>1</v>
      </c>
      <c r="N2" s="6">
        <v>4</v>
      </c>
      <c r="O2" s="6">
        <v>0</v>
      </c>
      <c r="P2" s="6">
        <v>0</v>
      </c>
      <c r="Q2" s="6">
        <v>24</v>
      </c>
      <c r="R2" s="6">
        <v>50</v>
      </c>
      <c r="S2" s="6">
        <v>8</v>
      </c>
      <c r="T2" s="6">
        <v>20</v>
      </c>
    </row>
    <row r="3" spans="1:20" x14ac:dyDescent="0.25">
      <c r="A3" s="3" t="s">
        <v>37</v>
      </c>
      <c r="B3" s="6">
        <v>1</v>
      </c>
      <c r="C3" s="6">
        <v>133.80000000000001</v>
      </c>
      <c r="D3" s="6">
        <v>2</v>
      </c>
      <c r="E3" s="6">
        <v>6</v>
      </c>
      <c r="F3" s="6">
        <v>6</v>
      </c>
      <c r="G3" s="6">
        <v>96.6</v>
      </c>
      <c r="H3" s="6">
        <v>10</v>
      </c>
      <c r="I3" s="6">
        <v>95.4</v>
      </c>
      <c r="J3" s="6">
        <v>89.3</v>
      </c>
      <c r="K3" s="6">
        <v>26</v>
      </c>
      <c r="L3" s="6">
        <v>52</v>
      </c>
      <c r="M3" s="6">
        <v>0</v>
      </c>
      <c r="N3" s="6">
        <v>0</v>
      </c>
      <c r="O3" s="6">
        <v>13</v>
      </c>
      <c r="P3" s="6">
        <v>28</v>
      </c>
      <c r="Q3" s="6">
        <v>19</v>
      </c>
      <c r="R3" s="6">
        <v>57</v>
      </c>
      <c r="S3" s="6">
        <v>38</v>
      </c>
      <c r="T3" s="6">
        <v>76</v>
      </c>
    </row>
    <row r="4" spans="1:20" x14ac:dyDescent="0.25">
      <c r="A4" s="3" t="s">
        <v>38</v>
      </c>
      <c r="B4" s="6">
        <v>1</v>
      </c>
      <c r="C4" s="6">
        <v>137.4</v>
      </c>
      <c r="D4" s="6">
        <v>4</v>
      </c>
      <c r="E4" s="6">
        <v>6</v>
      </c>
      <c r="F4" s="6">
        <v>5</v>
      </c>
      <c r="G4" s="6">
        <v>180.5</v>
      </c>
      <c r="H4" s="6">
        <v>1</v>
      </c>
      <c r="I4" s="6">
        <v>8.77</v>
      </c>
      <c r="J4" s="6">
        <v>116</v>
      </c>
      <c r="K4" s="6">
        <v>41</v>
      </c>
      <c r="L4" s="6">
        <v>82</v>
      </c>
      <c r="M4" s="6">
        <v>0</v>
      </c>
      <c r="N4" s="6">
        <v>0</v>
      </c>
      <c r="O4" s="6">
        <v>4</v>
      </c>
      <c r="P4" s="6">
        <v>8</v>
      </c>
      <c r="Q4" s="6">
        <v>20</v>
      </c>
      <c r="R4" s="6">
        <v>60</v>
      </c>
      <c r="S4" s="6">
        <v>30</v>
      </c>
      <c r="T4" s="6">
        <v>60</v>
      </c>
    </row>
    <row r="5" spans="1:20" x14ac:dyDescent="0.25">
      <c r="A5" s="3" t="s">
        <v>39</v>
      </c>
      <c r="B5" s="6">
        <v>1</v>
      </c>
      <c r="C5" s="6">
        <v>85.6</v>
      </c>
      <c r="D5" s="6">
        <v>1</v>
      </c>
      <c r="E5" s="6">
        <v>11</v>
      </c>
      <c r="F5" s="6">
        <v>9</v>
      </c>
      <c r="G5" s="6">
        <v>129.1</v>
      </c>
      <c r="H5" s="6">
        <v>9</v>
      </c>
      <c r="I5" s="6">
        <v>90</v>
      </c>
      <c r="J5" s="6">
        <v>47.3</v>
      </c>
      <c r="K5" s="6">
        <v>43</v>
      </c>
      <c r="L5" s="6">
        <v>86</v>
      </c>
      <c r="M5" s="6">
        <v>0</v>
      </c>
      <c r="N5" s="6">
        <v>0</v>
      </c>
      <c r="O5" s="6">
        <v>24</v>
      </c>
      <c r="P5" s="6">
        <v>48</v>
      </c>
      <c r="Q5" s="6">
        <v>13</v>
      </c>
      <c r="R5" s="6">
        <v>30</v>
      </c>
      <c r="S5" s="6">
        <v>53</v>
      </c>
      <c r="T5" s="6">
        <v>106</v>
      </c>
    </row>
    <row r="6" spans="1:20" x14ac:dyDescent="0.25">
      <c r="A6" s="3" t="s">
        <v>43</v>
      </c>
      <c r="B6" s="5">
        <v>1</v>
      </c>
      <c r="C6" s="5">
        <v>72.599999999999994</v>
      </c>
      <c r="D6" s="5">
        <v>2</v>
      </c>
      <c r="E6" s="5">
        <v>5</v>
      </c>
      <c r="F6" s="5">
        <v>9</v>
      </c>
      <c r="G6" s="5">
        <v>113.2</v>
      </c>
      <c r="H6" s="5">
        <v>7</v>
      </c>
      <c r="I6" s="5">
        <v>138.6</v>
      </c>
      <c r="J6" s="5">
        <v>42</v>
      </c>
      <c r="K6" s="5">
        <v>36</v>
      </c>
      <c r="L6" s="5">
        <v>72</v>
      </c>
      <c r="M6" s="5">
        <v>0</v>
      </c>
      <c r="N6" s="5">
        <v>0</v>
      </c>
      <c r="O6" s="5">
        <v>7</v>
      </c>
      <c r="P6" s="5">
        <v>14</v>
      </c>
      <c r="Q6" s="5">
        <v>53</v>
      </c>
      <c r="R6" s="5">
        <v>212</v>
      </c>
      <c r="S6" s="5">
        <v>14</v>
      </c>
      <c r="T6" s="5">
        <v>28</v>
      </c>
    </row>
    <row r="7" spans="1:20" x14ac:dyDescent="0.25">
      <c r="A7" s="3" t="s">
        <v>44</v>
      </c>
      <c r="B7" s="5">
        <v>3</v>
      </c>
      <c r="C7" s="5">
        <v>77.400000000000006</v>
      </c>
      <c r="D7" s="5">
        <v>2</v>
      </c>
      <c r="E7" s="5">
        <v>10</v>
      </c>
      <c r="F7" s="5">
        <v>6</v>
      </c>
      <c r="G7" s="5">
        <v>138.35</v>
      </c>
      <c r="H7" s="5">
        <v>6</v>
      </c>
      <c r="I7" s="5">
        <v>68.400000000000006</v>
      </c>
      <c r="J7" s="5">
        <v>81.34</v>
      </c>
      <c r="K7" s="5">
        <v>40</v>
      </c>
      <c r="L7" s="5">
        <v>80</v>
      </c>
      <c r="M7" s="5">
        <v>0</v>
      </c>
      <c r="N7" s="5">
        <v>0</v>
      </c>
      <c r="O7" s="5">
        <v>4</v>
      </c>
      <c r="P7" s="5">
        <v>4</v>
      </c>
      <c r="Q7" s="5">
        <v>23</v>
      </c>
      <c r="R7" s="5">
        <v>69</v>
      </c>
      <c r="S7" s="5">
        <v>37</v>
      </c>
      <c r="T7" s="5">
        <v>74</v>
      </c>
    </row>
    <row r="8" spans="1:20" x14ac:dyDescent="0.25">
      <c r="A8" s="3" t="s">
        <v>45</v>
      </c>
      <c r="B8" s="5">
        <v>26.4</v>
      </c>
      <c r="C8" s="5">
        <v>68.400000000000006</v>
      </c>
      <c r="D8" s="5">
        <v>7</v>
      </c>
      <c r="E8" s="5">
        <v>8</v>
      </c>
      <c r="F8" s="5">
        <v>10</v>
      </c>
      <c r="G8" s="5">
        <v>169.3</v>
      </c>
      <c r="H8" s="5">
        <v>5</v>
      </c>
      <c r="I8" s="5">
        <v>84.6</v>
      </c>
      <c r="J8" s="5">
        <v>32.82</v>
      </c>
      <c r="K8" s="5">
        <v>36</v>
      </c>
      <c r="L8" s="5">
        <v>72</v>
      </c>
      <c r="M8" s="5">
        <v>0</v>
      </c>
      <c r="N8" s="5">
        <v>0</v>
      </c>
      <c r="O8" s="5">
        <v>2</v>
      </c>
      <c r="P8" s="5">
        <v>2</v>
      </c>
      <c r="Q8" s="5">
        <v>17</v>
      </c>
      <c r="R8" s="5">
        <v>1</v>
      </c>
      <c r="S8" s="5">
        <v>36</v>
      </c>
      <c r="T8" s="5">
        <v>72</v>
      </c>
    </row>
    <row r="9" spans="1:20" x14ac:dyDescent="0.25">
      <c r="A9" s="3" t="s">
        <v>19</v>
      </c>
      <c r="B9" s="5">
        <v>21</v>
      </c>
      <c r="C9" s="5">
        <v>74.400000000000006</v>
      </c>
      <c r="D9" s="5">
        <v>4</v>
      </c>
      <c r="E9" s="5">
        <v>11</v>
      </c>
      <c r="F9" s="5">
        <v>8</v>
      </c>
      <c r="G9" s="5">
        <v>101.8</v>
      </c>
      <c r="H9" s="5">
        <v>10</v>
      </c>
      <c r="I9" s="5">
        <v>90.6</v>
      </c>
      <c r="J9" s="5">
        <v>69.03</v>
      </c>
      <c r="K9" s="5">
        <v>51</v>
      </c>
      <c r="L9" s="5">
        <v>51</v>
      </c>
      <c r="M9" s="5">
        <v>0</v>
      </c>
      <c r="N9" s="5">
        <v>0</v>
      </c>
      <c r="O9" s="5">
        <v>16</v>
      </c>
      <c r="P9" s="5">
        <v>32</v>
      </c>
      <c r="Q9" s="5">
        <v>37</v>
      </c>
      <c r="R9" s="5">
        <v>148</v>
      </c>
      <c r="S9" s="5">
        <v>16</v>
      </c>
      <c r="T9" s="5">
        <v>32</v>
      </c>
    </row>
    <row r="10" spans="1:20" x14ac:dyDescent="0.25">
      <c r="A10" s="3" t="s">
        <v>20</v>
      </c>
      <c r="B10" s="5">
        <v>1.5</v>
      </c>
      <c r="C10" s="5">
        <v>127.8</v>
      </c>
      <c r="D10" s="5">
        <v>1</v>
      </c>
      <c r="E10" s="5">
        <v>9</v>
      </c>
      <c r="F10" s="5">
        <v>8</v>
      </c>
      <c r="G10" s="5">
        <v>109.26</v>
      </c>
      <c r="H10" s="5">
        <v>8</v>
      </c>
      <c r="I10" s="5">
        <v>82.8</v>
      </c>
      <c r="J10" s="5">
        <v>102</v>
      </c>
      <c r="K10" s="5">
        <v>36</v>
      </c>
      <c r="L10" s="5">
        <v>37</v>
      </c>
      <c r="M10" s="5">
        <v>0</v>
      </c>
      <c r="N10" s="5">
        <v>0</v>
      </c>
      <c r="O10" s="5">
        <v>6</v>
      </c>
      <c r="P10" s="5">
        <v>6</v>
      </c>
      <c r="Q10" s="5">
        <v>54</v>
      </c>
      <c r="R10" s="5">
        <v>216</v>
      </c>
      <c r="S10" s="5">
        <v>7</v>
      </c>
      <c r="T10" s="5">
        <v>14</v>
      </c>
    </row>
    <row r="11" spans="1:20" x14ac:dyDescent="0.25">
      <c r="A11" s="53" t="s">
        <v>21</v>
      </c>
      <c r="B11" s="39">
        <v>1</v>
      </c>
      <c r="C11" s="39">
        <v>90.6</v>
      </c>
      <c r="D11" s="39">
        <v>9</v>
      </c>
      <c r="E11" s="39">
        <v>10</v>
      </c>
      <c r="F11" s="39">
        <v>16</v>
      </c>
      <c r="G11" s="39">
        <v>188.92</v>
      </c>
      <c r="H11" s="39">
        <v>12</v>
      </c>
      <c r="I11" s="39">
        <v>87.6</v>
      </c>
      <c r="J11" s="39">
        <v>34</v>
      </c>
      <c r="K11" s="39">
        <v>67</v>
      </c>
      <c r="L11" s="39">
        <v>69</v>
      </c>
      <c r="M11" s="39">
        <v>0</v>
      </c>
      <c r="N11" s="39">
        <v>0</v>
      </c>
      <c r="O11" s="39">
        <v>13</v>
      </c>
      <c r="P11" s="39">
        <v>13</v>
      </c>
      <c r="Q11" s="39">
        <v>37</v>
      </c>
      <c r="R11" s="39">
        <v>148</v>
      </c>
      <c r="S11" s="39">
        <v>11</v>
      </c>
      <c r="T11" s="39">
        <v>22</v>
      </c>
    </row>
    <row r="12" spans="1:20" x14ac:dyDescent="0.25">
      <c r="A12" s="17" t="s">
        <v>128</v>
      </c>
      <c r="B12" s="17">
        <f t="shared" ref="B12:T12" si="0">AVERAGE(B2:B11)</f>
        <v>6.69</v>
      </c>
      <c r="C12" s="17">
        <f t="shared" si="0"/>
        <v>87.543999999999997</v>
      </c>
      <c r="D12" s="17">
        <f t="shared" si="0"/>
        <v>3.5</v>
      </c>
      <c r="E12" s="17">
        <f t="shared" si="0"/>
        <v>7.8</v>
      </c>
      <c r="F12" s="17">
        <f t="shared" si="0"/>
        <v>7.9</v>
      </c>
      <c r="G12" s="17">
        <f t="shared" si="0"/>
        <v>151.70300000000003</v>
      </c>
      <c r="H12" s="17">
        <f t="shared" si="0"/>
        <v>6.8</v>
      </c>
      <c r="I12" s="17">
        <f t="shared" si="0"/>
        <v>75.14500000000001</v>
      </c>
      <c r="J12" s="17">
        <f t="shared" si="0"/>
        <v>62.379000000000005</v>
      </c>
      <c r="K12" s="17">
        <f t="shared" si="0"/>
        <v>43.4</v>
      </c>
      <c r="L12" s="17">
        <f t="shared" si="0"/>
        <v>77.5</v>
      </c>
      <c r="M12" s="17">
        <f t="shared" si="0"/>
        <v>0.1</v>
      </c>
      <c r="N12" s="17">
        <f t="shared" si="0"/>
        <v>0.4</v>
      </c>
      <c r="O12" s="17">
        <f t="shared" si="0"/>
        <v>8.9</v>
      </c>
      <c r="P12" s="17">
        <f t="shared" si="0"/>
        <v>15.5</v>
      </c>
      <c r="Q12" s="17">
        <f t="shared" si="0"/>
        <v>29.7</v>
      </c>
      <c r="R12" s="17">
        <f t="shared" si="0"/>
        <v>99.1</v>
      </c>
      <c r="S12" s="17">
        <f t="shared" si="0"/>
        <v>25</v>
      </c>
      <c r="T12" s="17">
        <f t="shared" si="0"/>
        <v>50.4</v>
      </c>
    </row>
    <row r="13" spans="1:20" x14ac:dyDescent="0.25">
      <c r="A13" s="82" t="s">
        <v>149</v>
      </c>
      <c r="B13" s="60">
        <f>_xlfn.STDEV.S(B2:B11)</f>
        <v>9.4671889527286126</v>
      </c>
      <c r="C13" s="60">
        <f t="shared" ref="C13:T13" si="1">_xlfn.STDEV.S(C2:C11)</f>
        <v>38.788649886274733</v>
      </c>
      <c r="D13" s="60">
        <f t="shared" si="1"/>
        <v>2.6352313834736494</v>
      </c>
      <c r="E13" s="60">
        <f t="shared" si="1"/>
        <v>2.9739610697593952</v>
      </c>
      <c r="F13" s="60">
        <f t="shared" si="1"/>
        <v>3.695342413844156</v>
      </c>
      <c r="G13" s="60">
        <f t="shared" si="1"/>
        <v>58.83104283548866</v>
      </c>
      <c r="H13" s="60">
        <f t="shared" si="1"/>
        <v>3.9101008796307148</v>
      </c>
      <c r="I13" s="60">
        <f t="shared" si="1"/>
        <v>40.298752462079996</v>
      </c>
      <c r="J13" s="60">
        <f t="shared" si="1"/>
        <v>34.381636716906478</v>
      </c>
      <c r="K13" s="60">
        <f t="shared" si="1"/>
        <v>12.075687236021906</v>
      </c>
      <c r="L13" s="60">
        <f t="shared" si="1"/>
        <v>37.322170950313762</v>
      </c>
      <c r="M13" s="60">
        <f t="shared" si="1"/>
        <v>0.31622776601683794</v>
      </c>
      <c r="N13" s="60">
        <f t="shared" si="1"/>
        <v>1.2649110640673518</v>
      </c>
      <c r="O13" s="60">
        <f t="shared" si="1"/>
        <v>7.4453564947108699</v>
      </c>
      <c r="P13" s="60">
        <f t="shared" si="1"/>
        <v>15.615163570495614</v>
      </c>
      <c r="Q13" s="60">
        <f t="shared" si="1"/>
        <v>14.780242066879541</v>
      </c>
      <c r="R13" s="60">
        <f t="shared" si="1"/>
        <v>76.16568197758825</v>
      </c>
      <c r="S13" s="60">
        <f t="shared" si="1"/>
        <v>15.825436627292293</v>
      </c>
      <c r="T13" s="60">
        <f t="shared" si="1"/>
        <v>31.195441262395306</v>
      </c>
    </row>
    <row r="14" spans="1:20" x14ac:dyDescent="0.25"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 spans="1:20" x14ac:dyDescent="0.25">
      <c r="A15" s="11" t="s">
        <v>71</v>
      </c>
    </row>
    <row r="16" spans="1:20" x14ac:dyDescent="0.25">
      <c r="A16" s="3" t="s">
        <v>40</v>
      </c>
      <c r="B16" s="6">
        <v>1</v>
      </c>
      <c r="C16" s="6">
        <v>76.2</v>
      </c>
      <c r="D16" s="6">
        <v>1</v>
      </c>
      <c r="E16" s="6">
        <v>7</v>
      </c>
      <c r="F16" s="6">
        <v>3</v>
      </c>
      <c r="G16" s="6">
        <v>48.2</v>
      </c>
      <c r="H16" s="6">
        <v>13</v>
      </c>
      <c r="I16" s="6">
        <v>203.4</v>
      </c>
      <c r="J16" s="6">
        <v>34</v>
      </c>
      <c r="K16" s="7">
        <v>21</v>
      </c>
      <c r="L16" s="7">
        <v>45</v>
      </c>
      <c r="M16" s="7">
        <v>2</v>
      </c>
      <c r="N16" s="7">
        <v>12</v>
      </c>
      <c r="O16" s="7">
        <v>35</v>
      </c>
      <c r="P16" s="7">
        <v>70</v>
      </c>
      <c r="Q16" s="7">
        <v>22</v>
      </c>
      <c r="R16" s="7">
        <v>45</v>
      </c>
      <c r="S16" s="7">
        <v>31</v>
      </c>
      <c r="T16" s="7">
        <v>94</v>
      </c>
    </row>
    <row r="17" spans="1:20" x14ac:dyDescent="0.25">
      <c r="A17" s="3" t="s">
        <v>41</v>
      </c>
      <c r="B17" s="6">
        <v>1</v>
      </c>
      <c r="C17" s="6">
        <v>61.2</v>
      </c>
      <c r="D17" s="6">
        <v>1</v>
      </c>
      <c r="E17" s="6">
        <v>7</v>
      </c>
      <c r="F17" s="6">
        <v>4</v>
      </c>
      <c r="G17" s="6">
        <v>78.099999999999994</v>
      </c>
      <c r="H17" s="6">
        <v>10</v>
      </c>
      <c r="I17" s="6">
        <v>196.2</v>
      </c>
      <c r="J17" s="6">
        <v>8.5</v>
      </c>
      <c r="K17" s="7">
        <v>24</v>
      </c>
      <c r="L17" s="7">
        <v>48</v>
      </c>
      <c r="M17" s="7">
        <v>3</v>
      </c>
      <c r="N17" s="7">
        <v>19.47</v>
      </c>
      <c r="O17" s="7">
        <v>29</v>
      </c>
      <c r="P17" s="7">
        <v>58</v>
      </c>
      <c r="Q17" s="7">
        <v>26</v>
      </c>
      <c r="R17" s="7">
        <v>78</v>
      </c>
      <c r="S17" s="7">
        <v>26</v>
      </c>
      <c r="T17" s="7">
        <v>52</v>
      </c>
    </row>
    <row r="18" spans="1:20" x14ac:dyDescent="0.25">
      <c r="A18" s="3" t="s">
        <v>42</v>
      </c>
      <c r="B18" s="6">
        <v>1</v>
      </c>
      <c r="C18" s="6">
        <v>63.6</v>
      </c>
      <c r="D18" s="6">
        <v>0</v>
      </c>
      <c r="E18" s="6">
        <v>7</v>
      </c>
      <c r="F18" s="6">
        <v>2</v>
      </c>
      <c r="G18" s="6">
        <v>23.6</v>
      </c>
      <c r="H18" s="6">
        <v>15</v>
      </c>
      <c r="I18" s="6">
        <v>243.6</v>
      </c>
      <c r="J18" s="6">
        <v>46.4</v>
      </c>
      <c r="K18" s="7">
        <v>15</v>
      </c>
      <c r="L18" s="7">
        <v>30</v>
      </c>
      <c r="M18" s="7">
        <v>3</v>
      </c>
      <c r="N18" s="7">
        <v>19</v>
      </c>
      <c r="O18" s="7">
        <v>24</v>
      </c>
      <c r="P18" s="7">
        <v>48</v>
      </c>
      <c r="Q18" s="7">
        <v>26</v>
      </c>
      <c r="R18" s="7">
        <v>53</v>
      </c>
      <c r="S18" s="7">
        <v>19</v>
      </c>
      <c r="T18" s="7">
        <v>43</v>
      </c>
    </row>
    <row r="19" spans="1:20" x14ac:dyDescent="0.25">
      <c r="A19" s="3" t="s">
        <v>46</v>
      </c>
      <c r="B19" s="4">
        <v>2</v>
      </c>
      <c r="C19" s="5">
        <v>57.9</v>
      </c>
      <c r="D19" s="5">
        <v>0</v>
      </c>
      <c r="E19" s="5">
        <v>4</v>
      </c>
      <c r="F19" s="4">
        <v>3</v>
      </c>
      <c r="G19" s="4">
        <v>24</v>
      </c>
      <c r="H19" s="4">
        <v>9</v>
      </c>
      <c r="I19" s="4">
        <v>261.60000000000002</v>
      </c>
      <c r="J19" s="4">
        <v>6</v>
      </c>
      <c r="K19" s="4">
        <v>12</v>
      </c>
      <c r="L19" s="4">
        <v>24</v>
      </c>
      <c r="M19" s="4">
        <v>4</v>
      </c>
      <c r="N19" s="4">
        <v>41.12</v>
      </c>
      <c r="O19" s="4">
        <v>24</v>
      </c>
      <c r="P19" s="4">
        <v>50</v>
      </c>
      <c r="Q19" s="4">
        <v>40</v>
      </c>
      <c r="R19" s="4">
        <v>120</v>
      </c>
      <c r="S19" s="4">
        <v>14</v>
      </c>
      <c r="T19" s="4">
        <v>28</v>
      </c>
    </row>
    <row r="20" spans="1:20" x14ac:dyDescent="0.25">
      <c r="A20" s="3" t="s">
        <v>47</v>
      </c>
      <c r="B20" s="4">
        <v>1</v>
      </c>
      <c r="C20" s="5">
        <v>55</v>
      </c>
      <c r="D20" s="5">
        <v>3</v>
      </c>
      <c r="E20" s="5">
        <v>3</v>
      </c>
      <c r="F20" s="4">
        <v>4</v>
      </c>
      <c r="G20" s="4">
        <v>34.200000000000003</v>
      </c>
      <c r="H20" s="4">
        <v>11</v>
      </c>
      <c r="I20" s="4">
        <v>240.6</v>
      </c>
      <c r="J20" s="4">
        <v>33.200000000000003</v>
      </c>
      <c r="K20" s="4">
        <v>18</v>
      </c>
      <c r="L20" s="4">
        <v>36</v>
      </c>
      <c r="M20" s="4">
        <v>5</v>
      </c>
      <c r="N20" s="4">
        <v>28.07</v>
      </c>
      <c r="O20" s="4">
        <v>26</v>
      </c>
      <c r="P20" s="4">
        <v>52</v>
      </c>
      <c r="Q20" s="4">
        <v>46</v>
      </c>
      <c r="R20" s="4">
        <v>138</v>
      </c>
      <c r="S20" s="4">
        <v>10</v>
      </c>
      <c r="T20" s="4">
        <v>20</v>
      </c>
    </row>
    <row r="21" spans="1:20" x14ac:dyDescent="0.25">
      <c r="A21" s="3" t="s">
        <v>48</v>
      </c>
      <c r="B21" s="4">
        <v>1</v>
      </c>
      <c r="C21" s="5">
        <v>49.62</v>
      </c>
      <c r="D21" s="5">
        <v>1</v>
      </c>
      <c r="E21" s="5">
        <v>7</v>
      </c>
      <c r="F21" s="4">
        <v>2</v>
      </c>
      <c r="G21" s="4">
        <v>27</v>
      </c>
      <c r="H21" s="4">
        <v>11</v>
      </c>
      <c r="I21" s="4">
        <v>211.8</v>
      </c>
      <c r="J21" s="4">
        <v>41</v>
      </c>
      <c r="K21" s="4">
        <v>13</v>
      </c>
      <c r="L21" s="4">
        <v>26</v>
      </c>
      <c r="M21" s="4">
        <v>2</v>
      </c>
      <c r="N21" s="4">
        <v>16.329999999999998</v>
      </c>
      <c r="O21" s="4">
        <v>31</v>
      </c>
      <c r="P21" s="4">
        <v>62</v>
      </c>
      <c r="Q21" s="4">
        <v>23</v>
      </c>
      <c r="R21" s="4">
        <v>78</v>
      </c>
      <c r="S21" s="4">
        <v>13</v>
      </c>
      <c r="T21" s="4">
        <v>26</v>
      </c>
    </row>
    <row r="22" spans="1:20" x14ac:dyDescent="0.25">
      <c r="A22" s="3" t="s">
        <v>22</v>
      </c>
      <c r="B22" s="4">
        <v>2.9</v>
      </c>
      <c r="C22" s="5">
        <v>82.2</v>
      </c>
      <c r="D22" s="5">
        <v>0</v>
      </c>
      <c r="E22" s="5">
        <v>4</v>
      </c>
      <c r="F22" s="4">
        <v>1</v>
      </c>
      <c r="G22" s="4">
        <v>4</v>
      </c>
      <c r="H22" s="4">
        <v>11</v>
      </c>
      <c r="I22" s="4">
        <v>260.43</v>
      </c>
      <c r="J22" s="4">
        <v>35.6</v>
      </c>
      <c r="K22" s="4">
        <v>7</v>
      </c>
      <c r="L22" s="4">
        <v>7</v>
      </c>
      <c r="M22" s="4">
        <v>1</v>
      </c>
      <c r="N22" s="4">
        <v>6</v>
      </c>
      <c r="O22" s="4">
        <v>27</v>
      </c>
      <c r="P22" s="4">
        <v>32</v>
      </c>
      <c r="Q22" s="4">
        <v>51</v>
      </c>
      <c r="R22" s="4">
        <v>204</v>
      </c>
      <c r="S22" s="4">
        <v>16</v>
      </c>
      <c r="T22" s="4">
        <v>32</v>
      </c>
    </row>
    <row r="23" spans="1:20" x14ac:dyDescent="0.25">
      <c r="A23" s="3" t="s">
        <v>23</v>
      </c>
      <c r="B23" s="4">
        <v>1</v>
      </c>
      <c r="C23" s="5">
        <v>53.3</v>
      </c>
      <c r="D23" s="5">
        <v>0</v>
      </c>
      <c r="E23" s="5">
        <v>3</v>
      </c>
      <c r="F23" s="4">
        <v>8</v>
      </c>
      <c r="G23" s="4">
        <v>84.6</v>
      </c>
      <c r="H23" s="4">
        <v>16</v>
      </c>
      <c r="I23" s="4">
        <v>242.4</v>
      </c>
      <c r="J23" s="4">
        <v>20</v>
      </c>
      <c r="K23" s="4">
        <v>28</v>
      </c>
      <c r="L23" s="4">
        <v>35</v>
      </c>
      <c r="M23" s="4">
        <v>2</v>
      </c>
      <c r="N23" s="4">
        <v>25.26</v>
      </c>
      <c r="O23" s="4">
        <v>28</v>
      </c>
      <c r="P23" s="4">
        <v>30</v>
      </c>
      <c r="Q23" s="4">
        <v>45</v>
      </c>
      <c r="R23" s="4">
        <v>180</v>
      </c>
      <c r="S23" s="4">
        <v>14</v>
      </c>
      <c r="T23" s="4">
        <v>28</v>
      </c>
    </row>
    <row r="24" spans="1:20" x14ac:dyDescent="0.25">
      <c r="A24" s="3" t="s">
        <v>24</v>
      </c>
      <c r="B24" s="4">
        <v>20.399999999999999</v>
      </c>
      <c r="C24" s="5">
        <v>70.8</v>
      </c>
      <c r="D24" s="5">
        <v>1</v>
      </c>
      <c r="E24" s="5">
        <v>8</v>
      </c>
      <c r="F24" s="4">
        <v>4</v>
      </c>
      <c r="G24" s="4">
        <v>70.16</v>
      </c>
      <c r="H24" s="4">
        <v>14</v>
      </c>
      <c r="I24" s="4">
        <v>187.8</v>
      </c>
      <c r="J24" s="4">
        <v>38.9</v>
      </c>
      <c r="K24" s="4">
        <v>16</v>
      </c>
      <c r="L24" s="4">
        <v>20</v>
      </c>
      <c r="M24" s="4">
        <v>2</v>
      </c>
      <c r="N24" s="4">
        <v>19.600000000000001</v>
      </c>
      <c r="O24" s="4">
        <v>30</v>
      </c>
      <c r="P24" s="4">
        <v>35</v>
      </c>
      <c r="Q24" s="4">
        <v>52</v>
      </c>
      <c r="R24" s="4">
        <v>208</v>
      </c>
      <c r="S24" s="4">
        <v>11</v>
      </c>
      <c r="T24" s="4">
        <v>22</v>
      </c>
    </row>
    <row r="25" spans="1:20" x14ac:dyDescent="0.25">
      <c r="A25" s="3" t="s">
        <v>25</v>
      </c>
      <c r="B25" s="4">
        <v>2</v>
      </c>
      <c r="C25" s="5">
        <v>42.78</v>
      </c>
      <c r="D25" s="5">
        <v>2</v>
      </c>
      <c r="E25" s="5">
        <v>4</v>
      </c>
      <c r="F25" s="4">
        <v>4</v>
      </c>
      <c r="G25" s="4">
        <v>58.6</v>
      </c>
      <c r="H25" s="4">
        <v>8</v>
      </c>
      <c r="I25" s="4">
        <v>190.86</v>
      </c>
      <c r="J25" s="4">
        <v>21</v>
      </c>
      <c r="K25" s="4">
        <v>16</v>
      </c>
      <c r="L25" s="4">
        <v>20</v>
      </c>
      <c r="M25" s="4">
        <v>4</v>
      </c>
      <c r="N25" s="4">
        <v>55.54</v>
      </c>
      <c r="O25" s="4">
        <v>25</v>
      </c>
      <c r="P25" s="4">
        <v>28</v>
      </c>
      <c r="Q25" s="4">
        <v>36</v>
      </c>
      <c r="R25" s="4">
        <v>144</v>
      </c>
      <c r="S25" s="4">
        <v>6</v>
      </c>
      <c r="T25" s="4">
        <v>12</v>
      </c>
    </row>
    <row r="26" spans="1:20" x14ac:dyDescent="0.25">
      <c r="A26" s="3" t="s">
        <v>26</v>
      </c>
      <c r="B26" s="4">
        <v>1</v>
      </c>
      <c r="C26" s="5">
        <v>63</v>
      </c>
      <c r="D26" s="5">
        <v>1</v>
      </c>
      <c r="E26" s="5">
        <v>7</v>
      </c>
      <c r="F26" s="4">
        <v>6</v>
      </c>
      <c r="G26" s="4">
        <v>60.64</v>
      </c>
      <c r="H26" s="4">
        <v>20</v>
      </c>
      <c r="I26" s="4">
        <v>190.8</v>
      </c>
      <c r="J26" s="4">
        <v>20</v>
      </c>
      <c r="K26" s="4">
        <v>11</v>
      </c>
      <c r="L26" s="4">
        <v>22</v>
      </c>
      <c r="M26" s="4">
        <v>4</v>
      </c>
      <c r="N26" s="4">
        <v>20.2</v>
      </c>
      <c r="O26" s="4">
        <v>42</v>
      </c>
      <c r="P26" s="4">
        <v>48</v>
      </c>
      <c r="Q26" s="4">
        <v>37</v>
      </c>
      <c r="R26" s="4">
        <v>111</v>
      </c>
      <c r="S26" s="4">
        <v>6</v>
      </c>
      <c r="T26" s="4">
        <v>12</v>
      </c>
    </row>
    <row r="27" spans="1:20" x14ac:dyDescent="0.25">
      <c r="A27" s="53" t="s">
        <v>27</v>
      </c>
      <c r="B27" s="39">
        <v>1</v>
      </c>
      <c r="C27" s="39">
        <v>56.52</v>
      </c>
      <c r="D27" s="39">
        <v>5</v>
      </c>
      <c r="E27" s="39">
        <v>6</v>
      </c>
      <c r="F27" s="39">
        <v>6</v>
      </c>
      <c r="G27" s="39">
        <v>92.7</v>
      </c>
      <c r="H27" s="39">
        <v>11</v>
      </c>
      <c r="I27" s="39">
        <v>206.4</v>
      </c>
      <c r="J27" s="39">
        <v>33</v>
      </c>
      <c r="K27" s="39">
        <v>16</v>
      </c>
      <c r="L27" s="39">
        <v>32</v>
      </c>
      <c r="M27" s="39">
        <v>3</v>
      </c>
      <c r="N27" s="39">
        <v>4.8099999999999996</v>
      </c>
      <c r="O27" s="39">
        <v>34</v>
      </c>
      <c r="P27" s="39">
        <v>68</v>
      </c>
      <c r="Q27" s="39">
        <v>28</v>
      </c>
      <c r="R27" s="39">
        <v>84</v>
      </c>
      <c r="S27" s="39">
        <v>5</v>
      </c>
      <c r="T27" s="39">
        <v>10</v>
      </c>
    </row>
    <row r="28" spans="1:20" x14ac:dyDescent="0.25">
      <c r="A28" s="17" t="s">
        <v>128</v>
      </c>
      <c r="B28" s="22">
        <f t="shared" ref="B28:T28" si="2">AVERAGE(B16:B27)</f>
        <v>2.9416666666666664</v>
      </c>
      <c r="C28" s="22">
        <f t="shared" si="2"/>
        <v>61.009999999999991</v>
      </c>
      <c r="D28" s="22">
        <f t="shared" si="2"/>
        <v>1.25</v>
      </c>
      <c r="E28" s="22">
        <f t="shared" si="2"/>
        <v>5.583333333333333</v>
      </c>
      <c r="F28" s="22">
        <f t="shared" si="2"/>
        <v>3.9166666666666665</v>
      </c>
      <c r="G28" s="22">
        <f t="shared" si="2"/>
        <v>50.483333333333341</v>
      </c>
      <c r="H28" s="22">
        <f t="shared" si="2"/>
        <v>12.416666666666666</v>
      </c>
      <c r="I28" s="22">
        <v>197.4</v>
      </c>
      <c r="J28" s="22">
        <f t="shared" si="2"/>
        <v>28.133333333333336</v>
      </c>
      <c r="K28" s="22">
        <f t="shared" si="2"/>
        <v>16.416666666666668</v>
      </c>
      <c r="L28" s="22">
        <f t="shared" si="2"/>
        <v>28.75</v>
      </c>
      <c r="M28" s="22">
        <f t="shared" si="2"/>
        <v>2.9166666666666665</v>
      </c>
      <c r="N28" s="22">
        <f t="shared" si="2"/>
        <v>22.283333333333331</v>
      </c>
      <c r="O28" s="22">
        <f t="shared" si="2"/>
        <v>29.583333333333332</v>
      </c>
      <c r="P28" s="22">
        <f t="shared" si="2"/>
        <v>48.416666666666664</v>
      </c>
      <c r="Q28" s="22">
        <f t="shared" si="2"/>
        <v>36</v>
      </c>
      <c r="R28" s="22">
        <f t="shared" si="2"/>
        <v>120.25</v>
      </c>
      <c r="S28" s="22">
        <f t="shared" si="2"/>
        <v>14.25</v>
      </c>
      <c r="T28" s="22">
        <f t="shared" si="2"/>
        <v>31.583333333333332</v>
      </c>
    </row>
    <row r="29" spans="1:20" ht="15" customHeight="1" x14ac:dyDescent="0.25">
      <c r="A29" s="84" t="s">
        <v>149</v>
      </c>
      <c r="B29" s="60">
        <f>_xlfn.STDEV.S(B16:B27)</f>
        <v>5.532787943184017</v>
      </c>
      <c r="C29" s="60">
        <f t="shared" ref="C29:T29" si="3">_xlfn.STDEV.S(C16:C27)</f>
        <v>11.175305568325911</v>
      </c>
      <c r="D29" s="60">
        <f t="shared" si="3"/>
        <v>1.4847711791873706</v>
      </c>
      <c r="E29" s="60">
        <f t="shared" si="3"/>
        <v>1.8319554050414568</v>
      </c>
      <c r="F29" s="60">
        <f t="shared" si="3"/>
        <v>1.9752253419585195</v>
      </c>
      <c r="G29" s="60">
        <f t="shared" si="3"/>
        <v>28.077315118123803</v>
      </c>
      <c r="H29" s="60">
        <f t="shared" si="3"/>
        <v>3.3698754585385813</v>
      </c>
      <c r="I29" s="60">
        <f t="shared" si="3"/>
        <v>28.090174317397921</v>
      </c>
      <c r="J29" s="60">
        <f t="shared" si="3"/>
        <v>12.838885064403751</v>
      </c>
      <c r="K29" s="60">
        <f t="shared" si="3"/>
        <v>5.7754705960692583</v>
      </c>
      <c r="L29" s="60">
        <f t="shared" si="3"/>
        <v>11.442544218040767</v>
      </c>
      <c r="M29" s="60">
        <f t="shared" si="3"/>
        <v>1.1645001528813153</v>
      </c>
      <c r="N29" s="60">
        <f t="shared" si="3"/>
        <v>14.286233254642763</v>
      </c>
      <c r="O29" s="60">
        <f t="shared" si="3"/>
        <v>5.3164980499527559</v>
      </c>
      <c r="P29" s="60">
        <f t="shared" si="3"/>
        <v>14.606712861080712</v>
      </c>
      <c r="Q29" s="60">
        <f t="shared" si="3"/>
        <v>10.904544507180981</v>
      </c>
      <c r="R29" s="60">
        <f t="shared" si="3"/>
        <v>55.85553606484239</v>
      </c>
      <c r="S29" s="60">
        <f t="shared" si="3"/>
        <v>7.9558440498450285</v>
      </c>
      <c r="T29" s="60">
        <f t="shared" si="3"/>
        <v>23.274872652061855</v>
      </c>
    </row>
    <row r="30" spans="1:20" ht="15" customHeight="1" x14ac:dyDescent="0.25">
      <c r="A30" s="25"/>
      <c r="B30" s="55" t="s">
        <v>0</v>
      </c>
      <c r="C30" s="55" t="s">
        <v>1</v>
      </c>
      <c r="D30" s="55" t="s">
        <v>2</v>
      </c>
      <c r="E30" s="55" t="s">
        <v>3</v>
      </c>
      <c r="F30" s="55" t="s">
        <v>4</v>
      </c>
      <c r="G30" s="55" t="s">
        <v>5</v>
      </c>
      <c r="H30" s="55" t="s">
        <v>6</v>
      </c>
      <c r="I30" s="55" t="s">
        <v>7</v>
      </c>
      <c r="J30" s="55" t="s">
        <v>8</v>
      </c>
      <c r="K30" s="55" t="s">
        <v>9</v>
      </c>
      <c r="L30" s="55" t="s">
        <v>10</v>
      </c>
      <c r="M30" s="55" t="s">
        <v>11</v>
      </c>
      <c r="N30" s="55" t="s">
        <v>12</v>
      </c>
      <c r="O30" s="55" t="s">
        <v>13</v>
      </c>
      <c r="P30" s="55" t="s">
        <v>14</v>
      </c>
      <c r="Q30" s="55" t="s">
        <v>15</v>
      </c>
      <c r="R30" s="55" t="s">
        <v>16</v>
      </c>
      <c r="S30" s="55" t="s">
        <v>17</v>
      </c>
      <c r="T30" s="55" t="s">
        <v>18</v>
      </c>
    </row>
    <row r="31" spans="1:20" ht="15" customHeight="1" x14ac:dyDescent="0.25">
      <c r="A31" s="56" t="s">
        <v>74</v>
      </c>
      <c r="B31" s="45">
        <v>6.69</v>
      </c>
      <c r="C31" s="45">
        <v>87.543999999999997</v>
      </c>
      <c r="D31" s="45">
        <v>3.5</v>
      </c>
      <c r="E31" s="45">
        <v>7.8</v>
      </c>
      <c r="F31" s="45">
        <v>7.9</v>
      </c>
      <c r="G31" s="45">
        <v>151.70300000000003</v>
      </c>
      <c r="H31" s="45">
        <v>6.8</v>
      </c>
      <c r="I31" s="45">
        <v>75.14500000000001</v>
      </c>
      <c r="J31" s="45">
        <v>62.379000000000005</v>
      </c>
      <c r="K31" s="45">
        <v>43.4</v>
      </c>
      <c r="L31" s="45">
        <v>77.5</v>
      </c>
      <c r="M31" s="45">
        <v>0.1</v>
      </c>
      <c r="N31" s="45">
        <v>0.4</v>
      </c>
      <c r="O31" s="45">
        <v>8.9</v>
      </c>
      <c r="P31" s="45">
        <v>15.5</v>
      </c>
      <c r="Q31" s="45">
        <v>29.7</v>
      </c>
      <c r="R31" s="45">
        <v>99.1</v>
      </c>
      <c r="S31" s="45">
        <v>25</v>
      </c>
      <c r="T31" s="45">
        <v>50.4</v>
      </c>
    </row>
    <row r="32" spans="1:20" ht="15" customHeight="1" x14ac:dyDescent="0.25">
      <c r="A32" s="56" t="s">
        <v>75</v>
      </c>
      <c r="B32" s="46">
        <v>2.9416666666666664</v>
      </c>
      <c r="C32" s="46">
        <v>61.009999999999991</v>
      </c>
      <c r="D32" s="46">
        <v>1.25</v>
      </c>
      <c r="E32" s="46">
        <v>5.583333333333333</v>
      </c>
      <c r="F32" s="46">
        <v>3.9166666666666665</v>
      </c>
      <c r="G32" s="46">
        <v>50.483333333333341</v>
      </c>
      <c r="H32" s="46">
        <v>12.416666666666666</v>
      </c>
      <c r="I32" s="46">
        <v>197.4</v>
      </c>
      <c r="J32" s="46">
        <v>28.133333333333336</v>
      </c>
      <c r="K32" s="46">
        <v>16.416666666666668</v>
      </c>
      <c r="L32" s="46">
        <v>28.75</v>
      </c>
      <c r="M32" s="46">
        <v>2.9166666666666665</v>
      </c>
      <c r="N32" s="46">
        <v>22.283333333333331</v>
      </c>
      <c r="O32" s="46">
        <v>29.583333333333332</v>
      </c>
      <c r="P32" s="46">
        <v>48.416666666666664</v>
      </c>
      <c r="Q32" s="46">
        <v>36</v>
      </c>
      <c r="R32" s="46">
        <v>120.25</v>
      </c>
      <c r="S32" s="46">
        <v>14.25</v>
      </c>
      <c r="T32" s="46">
        <v>31.583333333333332</v>
      </c>
    </row>
    <row r="34" spans="1:20" ht="15" customHeight="1" x14ac:dyDescent="0.25">
      <c r="A34" s="25"/>
      <c r="B34" s="55" t="s">
        <v>0</v>
      </c>
      <c r="C34" s="55" t="s">
        <v>1</v>
      </c>
      <c r="D34" s="55" t="s">
        <v>2</v>
      </c>
      <c r="E34" s="55" t="s">
        <v>3</v>
      </c>
      <c r="F34" s="55" t="s">
        <v>4</v>
      </c>
      <c r="G34" s="55" t="s">
        <v>5</v>
      </c>
      <c r="H34" s="55" t="s">
        <v>6</v>
      </c>
      <c r="I34" s="55" t="s">
        <v>7</v>
      </c>
      <c r="J34" s="55" t="s">
        <v>8</v>
      </c>
      <c r="K34" s="55" t="s">
        <v>9</v>
      </c>
      <c r="L34" s="55" t="s">
        <v>10</v>
      </c>
      <c r="M34" s="55" t="s">
        <v>11</v>
      </c>
      <c r="N34" s="55" t="s">
        <v>12</v>
      </c>
      <c r="O34" s="55" t="s">
        <v>13</v>
      </c>
      <c r="P34" s="55" t="s">
        <v>14</v>
      </c>
      <c r="Q34" s="55" t="s">
        <v>15</v>
      </c>
      <c r="R34" s="55" t="s">
        <v>16</v>
      </c>
      <c r="S34" s="55" t="s">
        <v>17</v>
      </c>
      <c r="T34" s="55" t="s">
        <v>18</v>
      </c>
    </row>
    <row r="35" spans="1:20" ht="15" customHeight="1" x14ac:dyDescent="0.25">
      <c r="A35" s="56" t="s">
        <v>76</v>
      </c>
      <c r="B35" s="62">
        <v>4.75</v>
      </c>
      <c r="C35" s="62">
        <v>105.66600000000001</v>
      </c>
      <c r="D35" s="62">
        <v>4.2</v>
      </c>
      <c r="E35" s="62">
        <v>6.9</v>
      </c>
      <c r="F35" s="62">
        <v>8.9</v>
      </c>
      <c r="G35" s="62">
        <v>126.86199999999999</v>
      </c>
      <c r="H35" s="62">
        <v>6.8</v>
      </c>
      <c r="I35" s="62">
        <v>74.424999999999997</v>
      </c>
      <c r="J35" s="62">
        <v>88.716000000000008</v>
      </c>
      <c r="K35" s="62">
        <v>45.8</v>
      </c>
      <c r="L35" s="62">
        <v>91.8</v>
      </c>
      <c r="M35" s="62">
        <v>0.5</v>
      </c>
      <c r="N35" s="62">
        <v>2.2999999999999998</v>
      </c>
      <c r="O35" s="62">
        <v>8.9</v>
      </c>
      <c r="P35" s="62">
        <v>17.3</v>
      </c>
      <c r="Q35" s="62">
        <v>27.7</v>
      </c>
      <c r="R35" s="62">
        <v>79.400000000000006</v>
      </c>
      <c r="S35" s="62">
        <v>29.6</v>
      </c>
      <c r="T35" s="62">
        <v>56.8</v>
      </c>
    </row>
    <row r="36" spans="1:20" ht="15" customHeight="1" x14ac:dyDescent="0.25">
      <c r="A36" s="56" t="s">
        <v>77</v>
      </c>
      <c r="B36" s="46">
        <v>2.9166666666666665</v>
      </c>
      <c r="C36" s="46">
        <v>43.798333333333339</v>
      </c>
      <c r="D36" s="46">
        <v>1.75</v>
      </c>
      <c r="E36" s="46">
        <v>4.1818181818181817</v>
      </c>
      <c r="F36" s="46">
        <v>3.1666666666666665</v>
      </c>
      <c r="G36" s="46">
        <v>56.354999999999997</v>
      </c>
      <c r="H36" s="46">
        <v>8.5833333333333339</v>
      </c>
      <c r="I36" s="46">
        <v>196.79999999999998</v>
      </c>
      <c r="J36" s="46">
        <v>65.587272727272733</v>
      </c>
      <c r="K36" s="46">
        <v>17.25</v>
      </c>
      <c r="L36" s="46">
        <v>34.416666666666664</v>
      </c>
      <c r="M36" s="46">
        <v>2.5</v>
      </c>
      <c r="N36" s="46">
        <v>28.243333333333329</v>
      </c>
      <c r="O36" s="46">
        <v>23.166666666666668</v>
      </c>
      <c r="P36" s="46">
        <v>47.083333333333336</v>
      </c>
      <c r="Q36" s="46">
        <v>26.583333333333332</v>
      </c>
      <c r="R36" s="46">
        <v>70.416666666666671</v>
      </c>
      <c r="S36" s="46">
        <v>13.666666666666666</v>
      </c>
      <c r="T36" s="46">
        <v>28</v>
      </c>
    </row>
    <row r="38" spans="1:20" ht="15" customHeight="1" x14ac:dyDescent="0.25">
      <c r="C38" s="55" t="s">
        <v>1</v>
      </c>
      <c r="D38" s="55" t="s">
        <v>4</v>
      </c>
      <c r="E38" s="55" t="s">
        <v>5</v>
      </c>
      <c r="F38" s="55" t="s">
        <v>6</v>
      </c>
      <c r="G38" s="55" t="s">
        <v>7</v>
      </c>
      <c r="H38" s="55" t="s">
        <v>8</v>
      </c>
    </row>
    <row r="39" spans="1:20" ht="15" customHeight="1" x14ac:dyDescent="0.25">
      <c r="B39" s="56" t="s">
        <v>131</v>
      </c>
      <c r="C39" s="45">
        <v>87.543999999999997</v>
      </c>
      <c r="D39" s="45">
        <v>7.9</v>
      </c>
      <c r="E39" s="45">
        <v>151.70300000000003</v>
      </c>
      <c r="F39" s="45">
        <v>6.8</v>
      </c>
      <c r="G39" s="45">
        <v>75.14500000000001</v>
      </c>
      <c r="H39" s="45">
        <v>62.379000000000005</v>
      </c>
    </row>
    <row r="40" spans="1:20" ht="15" customHeight="1" x14ac:dyDescent="0.25">
      <c r="B40" s="56" t="s">
        <v>75</v>
      </c>
      <c r="C40" s="46">
        <v>61.009999999999991</v>
      </c>
      <c r="D40" s="46">
        <v>3.9166666666666665</v>
      </c>
      <c r="E40" s="46">
        <v>50.483333333333341</v>
      </c>
      <c r="F40" s="46">
        <v>12.416666666666666</v>
      </c>
      <c r="G40" s="46">
        <v>197.4</v>
      </c>
      <c r="H40" s="46">
        <v>28.133333333333336</v>
      </c>
    </row>
    <row r="42" spans="1:20" ht="15" customHeight="1" x14ac:dyDescent="0.25">
      <c r="B42" s="25"/>
      <c r="C42" s="55" t="s">
        <v>1</v>
      </c>
      <c r="D42" s="55" t="s">
        <v>4</v>
      </c>
      <c r="E42" s="55" t="s">
        <v>5</v>
      </c>
      <c r="F42" s="55" t="s">
        <v>6</v>
      </c>
      <c r="G42" s="55" t="s">
        <v>7</v>
      </c>
      <c r="H42" s="55" t="s">
        <v>8</v>
      </c>
    </row>
    <row r="43" spans="1:20" ht="15" customHeight="1" x14ac:dyDescent="0.25">
      <c r="B43" s="56" t="s">
        <v>132</v>
      </c>
      <c r="C43" s="62">
        <v>105.66600000000001</v>
      </c>
      <c r="D43" s="62">
        <v>8.9</v>
      </c>
      <c r="E43" s="62">
        <v>126.86199999999999</v>
      </c>
      <c r="F43" s="62">
        <v>6.8</v>
      </c>
      <c r="G43" s="62">
        <v>74.424999999999997</v>
      </c>
      <c r="H43" s="62">
        <v>88.716000000000008</v>
      </c>
    </row>
    <row r="44" spans="1:20" ht="15" customHeight="1" x14ac:dyDescent="0.25">
      <c r="B44" s="56" t="s">
        <v>77</v>
      </c>
      <c r="C44" s="46">
        <v>43.798333333333339</v>
      </c>
      <c r="D44" s="46">
        <v>3.1666666666666665</v>
      </c>
      <c r="E44" s="46">
        <v>56.354999999999997</v>
      </c>
      <c r="F44" s="46">
        <v>8.5833333333333339</v>
      </c>
      <c r="G44" s="46">
        <v>196.79999999999998</v>
      </c>
      <c r="H44" s="46">
        <v>65.587272727272733</v>
      </c>
    </row>
    <row r="46" spans="1:20" ht="15" customHeight="1" x14ac:dyDescent="0.25">
      <c r="C46" s="55" t="s">
        <v>1</v>
      </c>
      <c r="D46" s="55" t="s">
        <v>4</v>
      </c>
      <c r="E46" s="55" t="s">
        <v>5</v>
      </c>
      <c r="F46" s="55" t="s">
        <v>6</v>
      </c>
      <c r="G46" s="55" t="s">
        <v>7</v>
      </c>
      <c r="H46" s="55" t="s">
        <v>8</v>
      </c>
    </row>
    <row r="47" spans="1:20" ht="15" customHeight="1" x14ac:dyDescent="0.25">
      <c r="B47" s="56" t="s">
        <v>131</v>
      </c>
      <c r="C47" s="45">
        <v>87.543999999999997</v>
      </c>
      <c r="D47" s="45">
        <v>7.9</v>
      </c>
      <c r="E47" s="45">
        <v>151.70300000000003</v>
      </c>
      <c r="F47" s="45">
        <v>6.8</v>
      </c>
      <c r="G47" s="45">
        <v>75.14500000000001</v>
      </c>
      <c r="H47" s="45">
        <v>62.379000000000005</v>
      </c>
    </row>
    <row r="48" spans="1:20" ht="15" customHeight="1" x14ac:dyDescent="0.25">
      <c r="B48" s="56" t="s">
        <v>132</v>
      </c>
      <c r="C48" s="62">
        <v>105.66600000000001</v>
      </c>
      <c r="D48" s="62">
        <v>8.9</v>
      </c>
      <c r="E48" s="62">
        <v>126.86199999999999</v>
      </c>
      <c r="F48" s="62">
        <v>6.8</v>
      </c>
      <c r="G48" s="62">
        <v>74.424999999999997</v>
      </c>
      <c r="H48" s="62">
        <v>88.716000000000008</v>
      </c>
    </row>
    <row r="50" spans="2:8" ht="15" customHeight="1" x14ac:dyDescent="0.25">
      <c r="C50" s="55" t="s">
        <v>1</v>
      </c>
      <c r="D50" s="55" t="s">
        <v>4</v>
      </c>
      <c r="E50" s="55" t="s">
        <v>5</v>
      </c>
      <c r="F50" s="55" t="s">
        <v>6</v>
      </c>
      <c r="G50" s="55" t="s">
        <v>7</v>
      </c>
      <c r="H50" s="55" t="s">
        <v>8</v>
      </c>
    </row>
    <row r="51" spans="2:8" ht="15" customHeight="1" x14ac:dyDescent="0.25">
      <c r="B51" s="56" t="s">
        <v>75</v>
      </c>
      <c r="C51" s="46">
        <v>61.009999999999991</v>
      </c>
      <c r="D51" s="46">
        <v>3.9166666666666665</v>
      </c>
      <c r="E51" s="46">
        <v>50.483333333333341</v>
      </c>
      <c r="F51" s="46">
        <v>12.416666666666666</v>
      </c>
      <c r="G51" s="46">
        <v>197.4</v>
      </c>
      <c r="H51" s="46">
        <v>28.133333333333336</v>
      </c>
    </row>
    <row r="52" spans="2:8" ht="15" customHeight="1" x14ac:dyDescent="0.25">
      <c r="B52" s="56" t="s">
        <v>77</v>
      </c>
      <c r="C52" s="46">
        <v>43.798333333333339</v>
      </c>
      <c r="D52" s="46">
        <v>3.1666666666666665</v>
      </c>
      <c r="E52" s="46">
        <v>56.354999999999997</v>
      </c>
      <c r="F52" s="46">
        <v>8.5833333333333339</v>
      </c>
      <c r="G52" s="46">
        <v>196.79999999999998</v>
      </c>
      <c r="H52" s="46">
        <v>65.587272727272733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T29"/>
  <sheetViews>
    <sheetView topLeftCell="A8" workbookViewId="0">
      <selection activeCell="C23" sqref="C23"/>
    </sheetView>
  </sheetViews>
  <sheetFormatPr baseColWidth="10" defaultColWidth="14.42578125" defaultRowHeight="15" customHeight="1" x14ac:dyDescent="0.25"/>
  <sheetData>
    <row r="1" spans="1:20" x14ac:dyDescent="0.25">
      <c r="A1" s="55" t="s">
        <v>66</v>
      </c>
      <c r="B1" s="55" t="s">
        <v>0</v>
      </c>
      <c r="C1" s="55" t="s">
        <v>1</v>
      </c>
      <c r="D1" s="55" t="s">
        <v>2</v>
      </c>
      <c r="E1" s="55" t="s">
        <v>3</v>
      </c>
      <c r="F1" s="55" t="s">
        <v>4</v>
      </c>
      <c r="G1" s="55" t="s">
        <v>5</v>
      </c>
      <c r="H1" s="55" t="s">
        <v>6</v>
      </c>
      <c r="I1" s="55" t="s">
        <v>7</v>
      </c>
      <c r="J1" s="55" t="s">
        <v>8</v>
      </c>
      <c r="K1" s="55" t="s">
        <v>9</v>
      </c>
      <c r="L1" s="55" t="s">
        <v>10</v>
      </c>
      <c r="M1" s="55" t="s">
        <v>11</v>
      </c>
      <c r="N1" s="55" t="s">
        <v>12</v>
      </c>
      <c r="O1" s="55" t="s">
        <v>13</v>
      </c>
      <c r="P1" s="55" t="s">
        <v>14</v>
      </c>
      <c r="Q1" s="55" t="s">
        <v>15</v>
      </c>
      <c r="R1" s="55" t="s">
        <v>16</v>
      </c>
      <c r="S1" s="55" t="s">
        <v>17</v>
      </c>
      <c r="T1" s="55" t="s">
        <v>18</v>
      </c>
    </row>
    <row r="2" spans="1:20" x14ac:dyDescent="0.25">
      <c r="A2" s="61" t="s">
        <v>49</v>
      </c>
      <c r="B2" s="54">
        <v>1</v>
      </c>
      <c r="C2" s="54">
        <v>188.4</v>
      </c>
      <c r="D2" s="54">
        <v>0</v>
      </c>
      <c r="E2" s="54">
        <v>8</v>
      </c>
      <c r="F2" s="54">
        <v>3</v>
      </c>
      <c r="G2" s="54">
        <v>71.400000000000006</v>
      </c>
      <c r="H2" s="54">
        <v>3</v>
      </c>
      <c r="I2" s="54">
        <v>52.46</v>
      </c>
      <c r="J2" s="54">
        <v>174.78</v>
      </c>
      <c r="K2" s="54">
        <v>29</v>
      </c>
      <c r="L2" s="54">
        <v>65</v>
      </c>
      <c r="M2" s="54">
        <v>1</v>
      </c>
      <c r="N2" s="54">
        <v>5</v>
      </c>
      <c r="O2" s="54">
        <v>8</v>
      </c>
      <c r="P2" s="54">
        <v>16</v>
      </c>
      <c r="Q2" s="54">
        <v>13</v>
      </c>
      <c r="R2" s="54">
        <v>30</v>
      </c>
      <c r="S2" s="54">
        <v>34</v>
      </c>
      <c r="T2" s="54">
        <v>68</v>
      </c>
    </row>
    <row r="3" spans="1:20" x14ac:dyDescent="0.25">
      <c r="A3" s="61" t="s">
        <v>50</v>
      </c>
      <c r="B3" s="54">
        <v>6</v>
      </c>
      <c r="C3" s="54">
        <v>153.6</v>
      </c>
      <c r="D3" s="54">
        <v>1</v>
      </c>
      <c r="E3" s="54">
        <v>5</v>
      </c>
      <c r="F3" s="54">
        <v>5</v>
      </c>
      <c r="G3" s="54">
        <v>86.4</v>
      </c>
      <c r="H3" s="54">
        <v>7</v>
      </c>
      <c r="I3" s="54">
        <v>68.400000000000006</v>
      </c>
      <c r="J3" s="54">
        <v>145.4</v>
      </c>
      <c r="K3" s="54">
        <v>34</v>
      </c>
      <c r="L3" s="54">
        <v>68</v>
      </c>
      <c r="M3" s="54">
        <v>0</v>
      </c>
      <c r="N3" s="54">
        <v>0</v>
      </c>
      <c r="O3" s="54">
        <v>7</v>
      </c>
      <c r="P3" s="54">
        <v>14</v>
      </c>
      <c r="Q3" s="54">
        <v>13</v>
      </c>
      <c r="R3" s="54">
        <v>30</v>
      </c>
      <c r="S3" s="54">
        <v>34</v>
      </c>
      <c r="T3" s="54">
        <v>72</v>
      </c>
    </row>
    <row r="4" spans="1:20" x14ac:dyDescent="0.25">
      <c r="A4" s="61" t="s">
        <v>51</v>
      </c>
      <c r="B4" s="54">
        <v>33.5</v>
      </c>
      <c r="C4" s="54">
        <v>248.4</v>
      </c>
      <c r="D4" s="54">
        <v>0</v>
      </c>
      <c r="E4" s="54">
        <v>5</v>
      </c>
      <c r="F4" s="54">
        <v>1</v>
      </c>
      <c r="G4" s="54">
        <v>6.82</v>
      </c>
      <c r="H4" s="54">
        <v>5</v>
      </c>
      <c r="I4" s="54">
        <v>76.8</v>
      </c>
      <c r="J4" s="54">
        <v>231</v>
      </c>
      <c r="K4" s="54">
        <v>23</v>
      </c>
      <c r="L4" s="54">
        <v>40</v>
      </c>
      <c r="M4" s="54">
        <v>1</v>
      </c>
      <c r="N4" s="54">
        <v>4</v>
      </c>
      <c r="O4" s="54">
        <v>10</v>
      </c>
      <c r="P4" s="54">
        <v>20</v>
      </c>
      <c r="Q4" s="54">
        <v>22</v>
      </c>
      <c r="R4" s="54">
        <v>45</v>
      </c>
      <c r="S4" s="54">
        <v>44</v>
      </c>
      <c r="T4" s="54">
        <v>100</v>
      </c>
    </row>
    <row r="5" spans="1:20" x14ac:dyDescent="0.25">
      <c r="A5" s="61" t="s">
        <v>52</v>
      </c>
      <c r="B5" s="54">
        <v>1</v>
      </c>
      <c r="C5" s="54">
        <v>56.2</v>
      </c>
      <c r="D5" s="54">
        <v>2</v>
      </c>
      <c r="E5" s="54">
        <v>5</v>
      </c>
      <c r="F5" s="54">
        <v>14</v>
      </c>
      <c r="G5" s="54">
        <v>188.4</v>
      </c>
      <c r="H5" s="54">
        <v>10</v>
      </c>
      <c r="I5" s="54">
        <v>61.8</v>
      </c>
      <c r="J5" s="54">
        <v>23.85</v>
      </c>
      <c r="K5" s="54">
        <v>76</v>
      </c>
      <c r="L5" s="54">
        <v>152</v>
      </c>
      <c r="M5" s="54">
        <v>0</v>
      </c>
      <c r="N5" s="54">
        <v>0</v>
      </c>
      <c r="O5" s="54">
        <v>17</v>
      </c>
      <c r="P5" s="54">
        <v>34</v>
      </c>
      <c r="Q5" s="54">
        <v>17</v>
      </c>
      <c r="R5" s="54">
        <v>36</v>
      </c>
      <c r="S5" s="54">
        <v>31</v>
      </c>
      <c r="T5" s="54">
        <v>65</v>
      </c>
    </row>
    <row r="6" spans="1:20" x14ac:dyDescent="0.25">
      <c r="A6" s="61" t="s">
        <v>58</v>
      </c>
      <c r="B6" s="36">
        <v>1</v>
      </c>
      <c r="C6" s="36">
        <v>77.400000000000006</v>
      </c>
      <c r="D6" s="36">
        <v>8</v>
      </c>
      <c r="E6" s="36">
        <v>10</v>
      </c>
      <c r="F6" s="36">
        <v>10</v>
      </c>
      <c r="G6" s="36">
        <v>195.6</v>
      </c>
      <c r="H6" s="36">
        <v>4</v>
      </c>
      <c r="I6" s="36">
        <v>39.729999999999997</v>
      </c>
      <c r="J6" s="36">
        <v>52.47</v>
      </c>
      <c r="K6" s="36">
        <v>55</v>
      </c>
      <c r="L6" s="36">
        <v>110</v>
      </c>
      <c r="M6" s="36">
        <v>0</v>
      </c>
      <c r="N6" s="36">
        <v>0</v>
      </c>
      <c r="O6" s="36">
        <v>4</v>
      </c>
      <c r="P6" s="36">
        <v>8</v>
      </c>
      <c r="Q6" s="36">
        <v>33</v>
      </c>
      <c r="R6" s="36">
        <v>132</v>
      </c>
      <c r="S6" s="36">
        <v>20</v>
      </c>
      <c r="T6" s="36">
        <v>40</v>
      </c>
    </row>
    <row r="7" spans="1:20" x14ac:dyDescent="0.25">
      <c r="A7" s="61" t="s">
        <v>59</v>
      </c>
      <c r="B7" s="36">
        <v>1</v>
      </c>
      <c r="C7" s="36">
        <v>53.9</v>
      </c>
      <c r="D7" s="36">
        <v>8</v>
      </c>
      <c r="E7" s="36">
        <v>5</v>
      </c>
      <c r="F7" s="36">
        <v>9</v>
      </c>
      <c r="G7" s="36">
        <v>189</v>
      </c>
      <c r="H7" s="36">
        <v>4</v>
      </c>
      <c r="I7" s="36">
        <v>63.6</v>
      </c>
      <c r="J7" s="36">
        <v>76.12</v>
      </c>
      <c r="K7" s="36">
        <v>70</v>
      </c>
      <c r="L7" s="36">
        <v>140</v>
      </c>
      <c r="M7" s="36">
        <v>0</v>
      </c>
      <c r="N7" s="36">
        <v>0</v>
      </c>
      <c r="O7" s="36">
        <v>9</v>
      </c>
      <c r="P7" s="36">
        <v>18</v>
      </c>
      <c r="Q7" s="36">
        <v>18</v>
      </c>
      <c r="R7" s="36">
        <v>36</v>
      </c>
      <c r="S7" s="36">
        <v>23</v>
      </c>
      <c r="T7" s="36">
        <v>46</v>
      </c>
    </row>
    <row r="8" spans="1:20" x14ac:dyDescent="0.25">
      <c r="A8" s="61" t="s">
        <v>60</v>
      </c>
      <c r="B8" s="36">
        <v>1</v>
      </c>
      <c r="C8" s="36">
        <v>61.2</v>
      </c>
      <c r="D8" s="36">
        <v>10</v>
      </c>
      <c r="E8" s="36">
        <v>4</v>
      </c>
      <c r="F8" s="36">
        <v>14</v>
      </c>
      <c r="G8" s="36">
        <v>139.19999999999999</v>
      </c>
      <c r="H8" s="36">
        <v>14</v>
      </c>
      <c r="I8" s="36">
        <v>87</v>
      </c>
      <c r="J8" s="36">
        <v>27.3</v>
      </c>
      <c r="K8" s="36">
        <v>56</v>
      </c>
      <c r="L8" s="36">
        <v>112</v>
      </c>
      <c r="M8" s="36">
        <v>0</v>
      </c>
      <c r="N8" s="36">
        <v>0</v>
      </c>
      <c r="O8" s="36">
        <v>15</v>
      </c>
      <c r="P8" s="36">
        <v>30</v>
      </c>
      <c r="Q8" s="36">
        <v>46</v>
      </c>
      <c r="R8" s="36">
        <v>184</v>
      </c>
      <c r="S8" s="36">
        <v>22</v>
      </c>
      <c r="T8" s="36">
        <v>44</v>
      </c>
    </row>
    <row r="9" spans="1:20" x14ac:dyDescent="0.25">
      <c r="A9" s="61" t="s">
        <v>61</v>
      </c>
      <c r="B9" s="36">
        <v>1</v>
      </c>
      <c r="C9" s="36">
        <v>56.16</v>
      </c>
      <c r="D9" s="36">
        <v>8</v>
      </c>
      <c r="E9" s="36">
        <v>6</v>
      </c>
      <c r="F9" s="36">
        <v>18</v>
      </c>
      <c r="G9" s="36">
        <v>180</v>
      </c>
      <c r="H9" s="36">
        <v>10</v>
      </c>
      <c r="I9" s="36">
        <v>53.86</v>
      </c>
      <c r="J9" s="36">
        <v>22</v>
      </c>
      <c r="K9" s="36">
        <v>56</v>
      </c>
      <c r="L9" s="36">
        <v>113</v>
      </c>
      <c r="M9" s="36">
        <v>1</v>
      </c>
      <c r="N9" s="36">
        <v>4</v>
      </c>
      <c r="O9" s="36">
        <v>14</v>
      </c>
      <c r="P9" s="36">
        <v>23</v>
      </c>
      <c r="Q9" s="36">
        <v>23</v>
      </c>
      <c r="R9" s="36">
        <v>69</v>
      </c>
      <c r="S9" s="36">
        <v>20</v>
      </c>
      <c r="T9" s="36">
        <v>40</v>
      </c>
    </row>
    <row r="10" spans="1:20" x14ac:dyDescent="0.25">
      <c r="A10" s="61" t="s">
        <v>28</v>
      </c>
      <c r="B10" s="36">
        <v>1</v>
      </c>
      <c r="C10" s="36">
        <v>69.599999999999994</v>
      </c>
      <c r="D10" s="36">
        <v>1</v>
      </c>
      <c r="E10" s="36">
        <v>6</v>
      </c>
      <c r="F10" s="36">
        <v>5</v>
      </c>
      <c r="G10" s="36">
        <v>75.599999999999994</v>
      </c>
      <c r="H10" s="36">
        <v>2</v>
      </c>
      <c r="I10" s="36">
        <v>151.80000000000001</v>
      </c>
      <c r="J10" s="36">
        <v>47.9</v>
      </c>
      <c r="K10" s="36">
        <v>18</v>
      </c>
      <c r="L10" s="36">
        <v>36</v>
      </c>
      <c r="M10" s="36">
        <v>2</v>
      </c>
      <c r="N10" s="36">
        <v>10</v>
      </c>
      <c r="O10" s="36">
        <v>3</v>
      </c>
      <c r="P10" s="36">
        <v>6</v>
      </c>
      <c r="Q10" s="36">
        <v>44</v>
      </c>
      <c r="R10" s="36">
        <v>88</v>
      </c>
      <c r="S10" s="36">
        <v>43</v>
      </c>
      <c r="T10" s="36">
        <v>43</v>
      </c>
    </row>
    <row r="11" spans="1:20" x14ac:dyDescent="0.25">
      <c r="A11" s="61" t="s">
        <v>29</v>
      </c>
      <c r="B11" s="36">
        <v>1</v>
      </c>
      <c r="C11" s="36">
        <v>91.8</v>
      </c>
      <c r="D11" s="36">
        <v>4</v>
      </c>
      <c r="E11" s="36">
        <v>15</v>
      </c>
      <c r="F11" s="36">
        <v>10</v>
      </c>
      <c r="G11" s="36">
        <v>136.19999999999999</v>
      </c>
      <c r="H11" s="36">
        <v>9</v>
      </c>
      <c r="I11" s="36">
        <v>88.8</v>
      </c>
      <c r="J11" s="36">
        <v>86.34</v>
      </c>
      <c r="K11" s="36">
        <v>41</v>
      </c>
      <c r="L11" s="36">
        <v>82</v>
      </c>
      <c r="M11" s="36">
        <v>0</v>
      </c>
      <c r="N11" s="36">
        <v>0</v>
      </c>
      <c r="O11" s="36">
        <v>2</v>
      </c>
      <c r="P11" s="36">
        <v>4</v>
      </c>
      <c r="Q11" s="36">
        <v>48</v>
      </c>
      <c r="R11" s="36">
        <v>144</v>
      </c>
      <c r="S11" s="36">
        <v>25</v>
      </c>
      <c r="T11" s="36">
        <v>50</v>
      </c>
    </row>
    <row r="12" spans="1:20" x14ac:dyDescent="0.25">
      <c r="A12" s="17" t="s">
        <v>128</v>
      </c>
      <c r="B12" s="47">
        <f t="shared" ref="B12:T12" si="0">AVERAGE(B2:B11)</f>
        <v>4.75</v>
      </c>
      <c r="C12" s="47">
        <f t="shared" si="0"/>
        <v>105.66600000000001</v>
      </c>
      <c r="D12" s="47">
        <f t="shared" si="0"/>
        <v>4.2</v>
      </c>
      <c r="E12" s="47">
        <f t="shared" si="0"/>
        <v>6.9</v>
      </c>
      <c r="F12" s="47">
        <f t="shared" si="0"/>
        <v>8.9</v>
      </c>
      <c r="G12" s="47">
        <f t="shared" si="0"/>
        <v>126.86199999999999</v>
      </c>
      <c r="H12" s="47">
        <f t="shared" si="0"/>
        <v>6.8</v>
      </c>
      <c r="I12" s="47">
        <f t="shared" si="0"/>
        <v>74.424999999999997</v>
      </c>
      <c r="J12" s="47">
        <f t="shared" si="0"/>
        <v>88.716000000000008</v>
      </c>
      <c r="K12" s="47">
        <f t="shared" si="0"/>
        <v>45.8</v>
      </c>
      <c r="L12" s="47">
        <f t="shared" si="0"/>
        <v>91.8</v>
      </c>
      <c r="M12" s="47">
        <f t="shared" si="0"/>
        <v>0.5</v>
      </c>
      <c r="N12" s="47">
        <f t="shared" si="0"/>
        <v>2.2999999999999998</v>
      </c>
      <c r="O12" s="47">
        <f t="shared" si="0"/>
        <v>8.9</v>
      </c>
      <c r="P12" s="47">
        <f t="shared" si="0"/>
        <v>17.3</v>
      </c>
      <c r="Q12" s="47">
        <f t="shared" si="0"/>
        <v>27.7</v>
      </c>
      <c r="R12" s="47">
        <f t="shared" si="0"/>
        <v>79.400000000000006</v>
      </c>
      <c r="S12" s="47">
        <f t="shared" si="0"/>
        <v>29.6</v>
      </c>
      <c r="T12" s="47">
        <f t="shared" si="0"/>
        <v>56.8</v>
      </c>
    </row>
    <row r="13" spans="1:20" x14ac:dyDescent="0.25">
      <c r="A13" s="85" t="s">
        <v>149</v>
      </c>
      <c r="B13" s="57">
        <f>_xlfn.STDEV.S(B2:B11)</f>
        <v>10.22320345532108</v>
      </c>
      <c r="C13" s="57">
        <f t="shared" ref="C13:T13" si="1">_xlfn.STDEV.S(C2:C11)</f>
        <v>67.792362762252864</v>
      </c>
      <c r="D13" s="57">
        <f t="shared" si="1"/>
        <v>3.9101008796307144</v>
      </c>
      <c r="E13" s="57">
        <f t="shared" si="1"/>
        <v>3.3482997343593821</v>
      </c>
      <c r="F13" s="57">
        <f t="shared" si="1"/>
        <v>5.425249610233001</v>
      </c>
      <c r="G13" s="57">
        <f t="shared" si="1"/>
        <v>64.279875855511747</v>
      </c>
      <c r="H13" s="57">
        <f t="shared" si="1"/>
        <v>3.8528488738133042</v>
      </c>
      <c r="I13" s="57">
        <f t="shared" si="1"/>
        <v>31.232635797974034</v>
      </c>
      <c r="J13" s="57">
        <f t="shared" si="1"/>
        <v>71.832672263006089</v>
      </c>
      <c r="K13" s="57">
        <f t="shared" si="1"/>
        <v>19.79786744969153</v>
      </c>
      <c r="L13" s="57">
        <f t="shared" si="1"/>
        <v>39.879819457966462</v>
      </c>
      <c r="M13" s="57">
        <f t="shared" si="1"/>
        <v>0.70710678118654757</v>
      </c>
      <c r="N13" s="57">
        <f t="shared" si="1"/>
        <v>3.4009802508492557</v>
      </c>
      <c r="O13" s="57">
        <f t="shared" si="1"/>
        <v>5.1736511929841837</v>
      </c>
      <c r="P13" s="57">
        <f t="shared" si="1"/>
        <v>9.9112730430219358</v>
      </c>
      <c r="Q13" s="57">
        <f t="shared" si="1"/>
        <v>13.888844444373335</v>
      </c>
      <c r="R13" s="57">
        <f t="shared" si="1"/>
        <v>55.672055627377169</v>
      </c>
      <c r="S13" s="57">
        <f t="shared" si="1"/>
        <v>9.0332718325089694</v>
      </c>
      <c r="T13" s="57">
        <f t="shared" si="1"/>
        <v>19.355160092911195</v>
      </c>
    </row>
    <row r="14" spans="1:20" x14ac:dyDescent="0.25">
      <c r="B14" s="57"/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</row>
    <row r="15" spans="1:20" x14ac:dyDescent="0.25">
      <c r="A15" s="10" t="s">
        <v>67</v>
      </c>
    </row>
    <row r="16" spans="1:20" x14ac:dyDescent="0.25">
      <c r="A16" s="9" t="s">
        <v>53</v>
      </c>
      <c r="B16" s="58">
        <v>1</v>
      </c>
      <c r="C16" s="58">
        <v>56.97</v>
      </c>
      <c r="D16" s="58">
        <v>0</v>
      </c>
      <c r="E16" s="58">
        <v>5</v>
      </c>
      <c r="F16" s="58">
        <v>3</v>
      </c>
      <c r="G16" s="58">
        <v>41.53</v>
      </c>
      <c r="H16" s="58">
        <v>5</v>
      </c>
      <c r="I16" s="58">
        <v>212.4</v>
      </c>
      <c r="J16" s="58" t="s">
        <v>54</v>
      </c>
      <c r="K16" s="58">
        <v>16</v>
      </c>
      <c r="L16" s="58">
        <v>32</v>
      </c>
      <c r="M16" s="58">
        <v>3</v>
      </c>
      <c r="N16" s="58">
        <v>10.3</v>
      </c>
      <c r="O16" s="58">
        <v>28</v>
      </c>
      <c r="P16" s="58">
        <v>57</v>
      </c>
      <c r="Q16" s="58">
        <v>18</v>
      </c>
      <c r="R16" s="58">
        <v>40</v>
      </c>
      <c r="S16" s="58">
        <v>27</v>
      </c>
      <c r="T16" s="58">
        <v>60</v>
      </c>
    </row>
    <row r="17" spans="1:20" x14ac:dyDescent="0.25">
      <c r="A17" s="9" t="s">
        <v>55</v>
      </c>
      <c r="B17" s="58">
        <v>1</v>
      </c>
      <c r="C17" s="58">
        <v>61.2</v>
      </c>
      <c r="D17" s="58">
        <v>1</v>
      </c>
      <c r="E17" s="58">
        <v>7</v>
      </c>
      <c r="F17" s="58">
        <v>2</v>
      </c>
      <c r="G17" s="58">
        <v>34.880000000000003</v>
      </c>
      <c r="H17" s="58">
        <v>8</v>
      </c>
      <c r="I17" s="58">
        <v>201.6</v>
      </c>
      <c r="J17" s="58">
        <v>45</v>
      </c>
      <c r="K17" s="58">
        <v>22</v>
      </c>
      <c r="L17" s="58">
        <v>40</v>
      </c>
      <c r="M17" s="58">
        <v>3</v>
      </c>
      <c r="N17" s="58">
        <v>34.4</v>
      </c>
      <c r="O17" s="58">
        <v>25</v>
      </c>
      <c r="P17" s="58">
        <v>50</v>
      </c>
      <c r="Q17" s="58">
        <v>22</v>
      </c>
      <c r="R17" s="58">
        <v>44</v>
      </c>
      <c r="S17" s="58">
        <v>24</v>
      </c>
      <c r="T17" s="58">
        <v>50</v>
      </c>
    </row>
    <row r="18" spans="1:20" x14ac:dyDescent="0.25">
      <c r="A18" s="9" t="s">
        <v>56</v>
      </c>
      <c r="B18" s="58">
        <v>1</v>
      </c>
      <c r="C18" s="58">
        <v>5.84</v>
      </c>
      <c r="D18" s="58">
        <v>3</v>
      </c>
      <c r="E18" s="58">
        <v>0</v>
      </c>
      <c r="F18" s="58">
        <v>3</v>
      </c>
      <c r="G18" s="58">
        <v>60.6</v>
      </c>
      <c r="H18" s="58">
        <v>2</v>
      </c>
      <c r="I18" s="58">
        <v>213.6</v>
      </c>
      <c r="J18" s="58">
        <v>2</v>
      </c>
      <c r="K18" s="58">
        <v>13</v>
      </c>
      <c r="L18" s="58">
        <v>26</v>
      </c>
      <c r="M18" s="58">
        <v>4</v>
      </c>
      <c r="N18" s="58">
        <v>27.3</v>
      </c>
      <c r="O18" s="58">
        <v>23</v>
      </c>
      <c r="P18" s="58">
        <v>45</v>
      </c>
      <c r="Q18" s="58">
        <v>20</v>
      </c>
      <c r="R18" s="58">
        <v>40</v>
      </c>
      <c r="S18" s="58">
        <v>16</v>
      </c>
      <c r="T18" s="58">
        <v>32</v>
      </c>
    </row>
    <row r="19" spans="1:20" x14ac:dyDescent="0.25">
      <c r="A19" s="9" t="s">
        <v>57</v>
      </c>
      <c r="B19" s="58">
        <v>1</v>
      </c>
      <c r="C19" s="58">
        <v>62.4</v>
      </c>
      <c r="D19" s="58">
        <v>6</v>
      </c>
      <c r="E19" s="58"/>
      <c r="F19" s="58">
        <v>6</v>
      </c>
      <c r="G19" s="58">
        <v>93</v>
      </c>
      <c r="H19" s="58">
        <v>8</v>
      </c>
      <c r="I19" s="58">
        <v>133.80000000000001</v>
      </c>
      <c r="J19" s="58">
        <v>34.700000000000003</v>
      </c>
      <c r="K19" s="58">
        <v>42</v>
      </c>
      <c r="L19" s="58">
        <v>84</v>
      </c>
      <c r="M19" s="58">
        <v>3</v>
      </c>
      <c r="N19" s="58">
        <v>17</v>
      </c>
      <c r="O19" s="58">
        <v>25</v>
      </c>
      <c r="P19" s="58">
        <v>50</v>
      </c>
      <c r="Q19" s="58">
        <v>17</v>
      </c>
      <c r="R19" s="58">
        <v>51</v>
      </c>
      <c r="S19" s="58">
        <v>17</v>
      </c>
      <c r="T19" s="58">
        <v>34</v>
      </c>
    </row>
    <row r="20" spans="1:20" x14ac:dyDescent="0.25">
      <c r="A20" s="9" t="s">
        <v>62</v>
      </c>
      <c r="B20" s="59">
        <v>1</v>
      </c>
      <c r="C20" s="59">
        <v>61.8</v>
      </c>
      <c r="D20" s="59">
        <v>2</v>
      </c>
      <c r="E20" s="59">
        <v>5</v>
      </c>
      <c r="F20" s="59">
        <v>5</v>
      </c>
      <c r="G20" s="59">
        <v>43.32</v>
      </c>
      <c r="H20" s="59">
        <v>15</v>
      </c>
      <c r="I20" s="59">
        <v>205.2</v>
      </c>
      <c r="J20" s="59">
        <v>276.68</v>
      </c>
      <c r="K20" s="59">
        <v>16</v>
      </c>
      <c r="L20" s="59">
        <v>32</v>
      </c>
      <c r="M20" s="59">
        <v>1</v>
      </c>
      <c r="N20" s="59">
        <v>17.12</v>
      </c>
      <c r="O20" s="59">
        <v>22</v>
      </c>
      <c r="P20" s="59">
        <v>44</v>
      </c>
      <c r="Q20" s="59">
        <v>43</v>
      </c>
      <c r="R20" s="59">
        <v>129</v>
      </c>
      <c r="S20" s="59">
        <v>7</v>
      </c>
      <c r="T20" s="59">
        <v>14</v>
      </c>
    </row>
    <row r="21" spans="1:20" x14ac:dyDescent="0.25">
      <c r="A21" s="9" t="s">
        <v>63</v>
      </c>
      <c r="B21" s="59">
        <v>18</v>
      </c>
      <c r="C21" s="59">
        <v>66</v>
      </c>
      <c r="D21" s="59">
        <v>0</v>
      </c>
      <c r="E21" s="59">
        <v>7</v>
      </c>
      <c r="F21" s="59">
        <v>1</v>
      </c>
      <c r="G21" s="59">
        <v>17.71</v>
      </c>
      <c r="H21" s="59">
        <v>10</v>
      </c>
      <c r="I21" s="59">
        <v>242.4</v>
      </c>
      <c r="J21" s="59">
        <v>46</v>
      </c>
      <c r="K21" s="59">
        <v>15</v>
      </c>
      <c r="L21" s="59">
        <v>30</v>
      </c>
      <c r="M21" s="59">
        <v>2</v>
      </c>
      <c r="N21" s="59">
        <v>33.4</v>
      </c>
      <c r="O21" s="59">
        <v>20</v>
      </c>
      <c r="P21" s="59">
        <v>40</v>
      </c>
      <c r="Q21" s="59">
        <v>32</v>
      </c>
      <c r="R21" s="59">
        <v>96</v>
      </c>
      <c r="S21" s="59">
        <v>14</v>
      </c>
      <c r="T21" s="59">
        <v>28</v>
      </c>
    </row>
    <row r="22" spans="1:20" x14ac:dyDescent="0.25">
      <c r="A22" s="9" t="s">
        <v>64</v>
      </c>
      <c r="B22" s="59">
        <v>2</v>
      </c>
      <c r="C22" s="59">
        <v>34.299999999999997</v>
      </c>
      <c r="D22" s="59">
        <v>2</v>
      </c>
      <c r="E22" s="59">
        <v>4</v>
      </c>
      <c r="F22" s="59">
        <v>4</v>
      </c>
      <c r="G22" s="59">
        <v>78</v>
      </c>
      <c r="H22" s="59">
        <v>8</v>
      </c>
      <c r="I22" s="59">
        <v>181.8</v>
      </c>
      <c r="J22" s="59">
        <v>217.08</v>
      </c>
      <c r="K22" s="59">
        <v>28</v>
      </c>
      <c r="L22" s="59">
        <v>56</v>
      </c>
      <c r="M22" s="59">
        <v>3</v>
      </c>
      <c r="N22" s="59">
        <v>22.71</v>
      </c>
      <c r="O22" s="59">
        <v>12</v>
      </c>
      <c r="P22" s="59">
        <v>24</v>
      </c>
      <c r="Q22" s="59">
        <v>28</v>
      </c>
      <c r="R22" s="59">
        <v>84</v>
      </c>
      <c r="S22" s="59">
        <v>7</v>
      </c>
      <c r="T22" s="59">
        <v>14</v>
      </c>
    </row>
    <row r="23" spans="1:20" x14ac:dyDescent="0.25">
      <c r="A23" s="9" t="s">
        <v>65</v>
      </c>
      <c r="B23" s="59">
        <v>2</v>
      </c>
      <c r="C23" s="59">
        <v>25.48</v>
      </c>
      <c r="D23" s="59">
        <v>5</v>
      </c>
      <c r="E23" s="59">
        <v>2</v>
      </c>
      <c r="F23" s="59">
        <v>5</v>
      </c>
      <c r="G23" s="59">
        <v>69.599999999999994</v>
      </c>
      <c r="H23" s="59">
        <v>11</v>
      </c>
      <c r="I23" s="59">
        <v>191.4</v>
      </c>
      <c r="J23" s="59">
        <v>22</v>
      </c>
      <c r="K23" s="59">
        <v>22</v>
      </c>
      <c r="L23" s="59">
        <v>45</v>
      </c>
      <c r="M23" s="59">
        <v>2</v>
      </c>
      <c r="N23" s="59">
        <v>37.07</v>
      </c>
      <c r="O23" s="59">
        <v>40</v>
      </c>
      <c r="P23" s="59">
        <v>86</v>
      </c>
      <c r="Q23" s="59">
        <v>41</v>
      </c>
      <c r="R23" s="59">
        <v>164</v>
      </c>
      <c r="S23" s="59">
        <v>0</v>
      </c>
      <c r="T23" s="59">
        <v>0</v>
      </c>
    </row>
    <row r="24" spans="1:20" x14ac:dyDescent="0.25">
      <c r="A24" s="9" t="s">
        <v>30</v>
      </c>
      <c r="B24" s="59">
        <v>1</v>
      </c>
      <c r="C24" s="59">
        <v>63.6</v>
      </c>
      <c r="D24" s="59">
        <v>0</v>
      </c>
      <c r="E24" s="59">
        <v>6</v>
      </c>
      <c r="F24" s="59">
        <v>3</v>
      </c>
      <c r="G24" s="59">
        <v>133.80000000000001</v>
      </c>
      <c r="H24" s="59">
        <v>19</v>
      </c>
      <c r="I24" s="59">
        <v>78.599999999999994</v>
      </c>
      <c r="J24" s="59">
        <v>38</v>
      </c>
      <c r="K24" s="59">
        <v>6</v>
      </c>
      <c r="L24" s="59">
        <v>12</v>
      </c>
      <c r="M24" s="59">
        <v>4</v>
      </c>
      <c r="N24" s="59">
        <v>21.1</v>
      </c>
      <c r="O24" s="59">
        <v>27</v>
      </c>
      <c r="P24" s="59">
        <v>54</v>
      </c>
      <c r="Q24" s="59">
        <v>33</v>
      </c>
      <c r="R24" s="59">
        <v>66</v>
      </c>
      <c r="S24" s="59">
        <v>33</v>
      </c>
      <c r="T24" s="59">
        <v>66</v>
      </c>
    </row>
    <row r="25" spans="1:20" x14ac:dyDescent="0.25">
      <c r="A25" s="9" t="s">
        <v>31</v>
      </c>
      <c r="B25" s="59">
        <v>1</v>
      </c>
      <c r="C25" s="59">
        <v>9.86</v>
      </c>
      <c r="D25" s="59">
        <v>0</v>
      </c>
      <c r="E25" s="59">
        <v>0</v>
      </c>
      <c r="F25" s="59">
        <v>1</v>
      </c>
      <c r="G25" s="59">
        <v>28.36</v>
      </c>
      <c r="H25" s="59">
        <v>5</v>
      </c>
      <c r="I25" s="59">
        <v>247.2</v>
      </c>
      <c r="J25" s="59">
        <v>14</v>
      </c>
      <c r="K25" s="59">
        <v>0</v>
      </c>
      <c r="L25" s="59">
        <v>0</v>
      </c>
      <c r="M25" s="59">
        <v>3</v>
      </c>
      <c r="N25" s="59">
        <v>106.28</v>
      </c>
      <c r="O25" s="59">
        <v>7</v>
      </c>
      <c r="P25" s="59">
        <v>14</v>
      </c>
      <c r="Q25" s="59">
        <v>5</v>
      </c>
      <c r="R25" s="59">
        <v>10</v>
      </c>
      <c r="S25" s="59">
        <v>2</v>
      </c>
      <c r="T25" s="59">
        <v>4</v>
      </c>
    </row>
    <row r="26" spans="1:20" x14ac:dyDescent="0.25">
      <c r="A26" s="9" t="s">
        <v>32</v>
      </c>
      <c r="B26" s="59">
        <v>3</v>
      </c>
      <c r="C26" s="59">
        <v>57.63</v>
      </c>
      <c r="D26" s="59">
        <v>2</v>
      </c>
      <c r="E26" s="59">
        <v>8</v>
      </c>
      <c r="F26" s="59">
        <v>2</v>
      </c>
      <c r="G26" s="59">
        <v>7.66</v>
      </c>
      <c r="H26" s="59">
        <v>11</v>
      </c>
      <c r="I26" s="59">
        <v>261</v>
      </c>
      <c r="J26" s="59">
        <v>18</v>
      </c>
      <c r="K26" s="59">
        <v>16</v>
      </c>
      <c r="L26" s="59">
        <v>32</v>
      </c>
      <c r="M26" s="59">
        <v>1</v>
      </c>
      <c r="N26" s="59">
        <v>4.6500000000000004</v>
      </c>
      <c r="O26" s="59">
        <v>38</v>
      </c>
      <c r="P26" s="59">
        <v>76</v>
      </c>
      <c r="Q26" s="59">
        <v>34</v>
      </c>
      <c r="R26" s="59">
        <v>68</v>
      </c>
      <c r="S26" s="59">
        <v>13</v>
      </c>
      <c r="T26" s="59">
        <v>26</v>
      </c>
    </row>
    <row r="27" spans="1:20" x14ac:dyDescent="0.25">
      <c r="A27" s="9" t="s">
        <v>33</v>
      </c>
      <c r="B27" s="59">
        <v>3</v>
      </c>
      <c r="C27" s="59">
        <v>20.5</v>
      </c>
      <c r="D27" s="59">
        <v>0</v>
      </c>
      <c r="E27" s="59">
        <v>2</v>
      </c>
      <c r="F27" s="59">
        <v>3</v>
      </c>
      <c r="G27" s="59">
        <v>67.8</v>
      </c>
      <c r="H27" s="59">
        <v>1</v>
      </c>
      <c r="I27" s="59">
        <v>192.6</v>
      </c>
      <c r="J27" s="59">
        <v>8</v>
      </c>
      <c r="K27" s="59">
        <v>11</v>
      </c>
      <c r="L27" s="59">
        <v>24</v>
      </c>
      <c r="M27" s="59">
        <v>1</v>
      </c>
      <c r="N27" s="59">
        <v>7.59</v>
      </c>
      <c r="O27" s="59">
        <v>11</v>
      </c>
      <c r="P27" s="59">
        <v>25</v>
      </c>
      <c r="Q27" s="59">
        <v>26</v>
      </c>
      <c r="R27" s="59">
        <v>53</v>
      </c>
      <c r="S27" s="59">
        <v>4</v>
      </c>
      <c r="T27" s="59">
        <v>8</v>
      </c>
    </row>
    <row r="28" spans="1:20" x14ac:dyDescent="0.25">
      <c r="A28" s="17" t="s">
        <v>128</v>
      </c>
      <c r="B28" s="60">
        <f t="shared" ref="B28:T28" si="2">AVERAGE(B16:B27)</f>
        <v>2.9166666666666665</v>
      </c>
      <c r="C28" s="60">
        <f t="shared" si="2"/>
        <v>43.798333333333339</v>
      </c>
      <c r="D28" s="60">
        <f t="shared" si="2"/>
        <v>1.75</v>
      </c>
      <c r="E28" s="60">
        <f t="shared" si="2"/>
        <v>4.1818181818181817</v>
      </c>
      <c r="F28" s="60">
        <f t="shared" si="2"/>
        <v>3.1666666666666665</v>
      </c>
      <c r="G28" s="60">
        <f t="shared" si="2"/>
        <v>56.354999999999997</v>
      </c>
      <c r="H28" s="60">
        <f t="shared" si="2"/>
        <v>8.5833333333333339</v>
      </c>
      <c r="I28" s="60">
        <f t="shared" si="2"/>
        <v>196.79999999999998</v>
      </c>
      <c r="J28" s="60">
        <f t="shared" si="2"/>
        <v>65.587272727272733</v>
      </c>
      <c r="K28" s="60">
        <f t="shared" si="2"/>
        <v>17.25</v>
      </c>
      <c r="L28" s="60">
        <f t="shared" si="2"/>
        <v>34.416666666666664</v>
      </c>
      <c r="M28" s="60">
        <f t="shared" si="2"/>
        <v>2.5</v>
      </c>
      <c r="N28" s="60">
        <f t="shared" si="2"/>
        <v>28.243333333333329</v>
      </c>
      <c r="O28" s="60">
        <f t="shared" si="2"/>
        <v>23.166666666666668</v>
      </c>
      <c r="P28" s="60">
        <f t="shared" si="2"/>
        <v>47.083333333333336</v>
      </c>
      <c r="Q28" s="60">
        <f t="shared" si="2"/>
        <v>26.583333333333332</v>
      </c>
      <c r="R28" s="60">
        <f t="shared" si="2"/>
        <v>70.416666666666671</v>
      </c>
      <c r="S28" s="60">
        <f t="shared" si="2"/>
        <v>13.666666666666666</v>
      </c>
      <c r="T28" s="60">
        <f t="shared" si="2"/>
        <v>28</v>
      </c>
    </row>
    <row r="29" spans="1:20" ht="15" customHeight="1" x14ac:dyDescent="0.25">
      <c r="A29" s="85" t="s">
        <v>149</v>
      </c>
      <c r="B29" s="60">
        <f>_xlfn.STDEV.S(B16:B27)</f>
        <v>4.8139632761626281</v>
      </c>
      <c r="C29" s="60">
        <f t="shared" ref="C29:T29" si="3">_xlfn.STDEV.S(C16:C27)</f>
        <v>22.93065706283474</v>
      </c>
      <c r="D29" s="60">
        <f t="shared" si="3"/>
        <v>2.050498830661811</v>
      </c>
      <c r="E29" s="60">
        <f t="shared" si="3"/>
        <v>2.8219915598095544</v>
      </c>
      <c r="F29" s="60">
        <f t="shared" si="3"/>
        <v>1.5859229221975182</v>
      </c>
      <c r="G29" s="60">
        <f t="shared" si="3"/>
        <v>35.204280085859395</v>
      </c>
      <c r="H29" s="60">
        <f t="shared" si="3"/>
        <v>5.1426617326992927</v>
      </c>
      <c r="I29" s="60">
        <f t="shared" si="3"/>
        <v>50.065774918419322</v>
      </c>
      <c r="J29" s="60">
        <f t="shared" si="3"/>
        <v>91.770390114776035</v>
      </c>
      <c r="K29" s="60">
        <f t="shared" si="3"/>
        <v>10.720625829764705</v>
      </c>
      <c r="L29" s="60">
        <f t="shared" si="3"/>
        <v>21.257975330485145</v>
      </c>
      <c r="M29" s="60">
        <f t="shared" si="3"/>
        <v>1.087114613009218</v>
      </c>
      <c r="N29" s="60">
        <f t="shared" si="3"/>
        <v>26.747934273113284</v>
      </c>
      <c r="O29" s="60">
        <f t="shared" si="3"/>
        <v>9.9711705643942548</v>
      </c>
      <c r="P29" s="60">
        <f t="shared" si="3"/>
        <v>20.654994259955338</v>
      </c>
      <c r="Q29" s="60">
        <f t="shared" si="3"/>
        <v>10.874978230559888</v>
      </c>
      <c r="R29" s="60">
        <f t="shared" si="3"/>
        <v>42.568572131718639</v>
      </c>
      <c r="S29" s="60">
        <f t="shared" si="3"/>
        <v>10.360180178613367</v>
      </c>
      <c r="T29" s="60">
        <f t="shared" si="3"/>
        <v>21.658506621900528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T25"/>
  <sheetViews>
    <sheetView workbookViewId="0"/>
  </sheetViews>
  <sheetFormatPr baseColWidth="10" defaultColWidth="14.42578125" defaultRowHeight="15" customHeight="1" x14ac:dyDescent="0.25"/>
  <sheetData>
    <row r="1" spans="1:20" x14ac:dyDescent="0.25">
      <c r="A1" s="2" t="s">
        <v>68</v>
      </c>
      <c r="B1" s="1" t="s">
        <v>0</v>
      </c>
      <c r="C1" s="2" t="s">
        <v>1</v>
      </c>
      <c r="D1" s="2" t="s">
        <v>2</v>
      </c>
      <c r="E1" s="2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 x14ac:dyDescent="0.25">
      <c r="A2" s="3" t="s">
        <v>36</v>
      </c>
      <c r="B2" s="6">
        <v>10</v>
      </c>
      <c r="C2" s="6">
        <v>7.44</v>
      </c>
      <c r="D2" s="6">
        <v>3</v>
      </c>
      <c r="E2" s="6">
        <v>2</v>
      </c>
      <c r="F2" s="6">
        <v>1</v>
      </c>
      <c r="G2" s="6">
        <v>190</v>
      </c>
      <c r="H2" s="6">
        <v>0</v>
      </c>
      <c r="I2" s="6">
        <v>0</v>
      </c>
      <c r="J2" s="6">
        <v>10</v>
      </c>
      <c r="K2" s="7">
        <v>58</v>
      </c>
      <c r="L2" s="7">
        <v>174</v>
      </c>
      <c r="M2" s="7">
        <v>1</v>
      </c>
      <c r="N2" s="7">
        <v>4</v>
      </c>
      <c r="O2" s="7">
        <v>0</v>
      </c>
      <c r="P2" s="7">
        <v>0</v>
      </c>
      <c r="Q2" s="7">
        <v>24</v>
      </c>
      <c r="R2" s="7">
        <v>50</v>
      </c>
      <c r="S2" s="7">
        <v>8</v>
      </c>
      <c r="T2" s="7">
        <v>20</v>
      </c>
    </row>
    <row r="3" spans="1:20" x14ac:dyDescent="0.25">
      <c r="A3" s="3" t="s">
        <v>37</v>
      </c>
      <c r="B3" s="6">
        <v>1</v>
      </c>
      <c r="C3" s="6">
        <v>133.80000000000001</v>
      </c>
      <c r="D3" s="6">
        <v>2</v>
      </c>
      <c r="E3" s="6">
        <v>6</v>
      </c>
      <c r="F3" s="6">
        <v>6</v>
      </c>
      <c r="G3" s="6">
        <v>96.6</v>
      </c>
      <c r="H3" s="6">
        <v>10</v>
      </c>
      <c r="I3" s="6">
        <v>114.1</v>
      </c>
      <c r="J3" s="6">
        <v>89.3</v>
      </c>
      <c r="K3" s="7">
        <v>26</v>
      </c>
      <c r="L3" s="7">
        <v>52</v>
      </c>
      <c r="M3" s="7">
        <v>0</v>
      </c>
      <c r="N3" s="7">
        <v>0</v>
      </c>
      <c r="O3" s="7">
        <v>13</v>
      </c>
      <c r="P3" s="7">
        <v>28</v>
      </c>
      <c r="Q3" s="7">
        <v>19</v>
      </c>
      <c r="R3" s="7">
        <v>57</v>
      </c>
      <c r="S3" s="7">
        <v>38</v>
      </c>
      <c r="T3" s="7">
        <v>76</v>
      </c>
    </row>
    <row r="4" spans="1:20" x14ac:dyDescent="0.25">
      <c r="A4" s="3" t="s">
        <v>40</v>
      </c>
      <c r="B4" s="6">
        <v>1</v>
      </c>
      <c r="C4" s="6">
        <v>76.2</v>
      </c>
      <c r="D4" s="6">
        <v>1</v>
      </c>
      <c r="E4" s="6">
        <v>7</v>
      </c>
      <c r="F4" s="6">
        <v>3</v>
      </c>
      <c r="G4" s="6">
        <v>48.2</v>
      </c>
      <c r="H4" s="6">
        <v>13</v>
      </c>
      <c r="I4" s="6">
        <v>217.85</v>
      </c>
      <c r="J4" s="6">
        <v>34</v>
      </c>
      <c r="K4" s="7">
        <v>21</v>
      </c>
      <c r="L4" s="7">
        <v>45</v>
      </c>
      <c r="M4" s="7">
        <v>2</v>
      </c>
      <c r="N4" s="7">
        <v>12</v>
      </c>
      <c r="O4" s="7">
        <v>35</v>
      </c>
      <c r="P4" s="7">
        <v>70</v>
      </c>
      <c r="Q4" s="7">
        <v>22</v>
      </c>
      <c r="R4" s="7">
        <v>45</v>
      </c>
      <c r="S4" s="7">
        <v>31</v>
      </c>
      <c r="T4" s="7">
        <v>94</v>
      </c>
    </row>
    <row r="5" spans="1:20" x14ac:dyDescent="0.25">
      <c r="A5" s="3" t="s">
        <v>41</v>
      </c>
      <c r="B5" s="6">
        <v>1</v>
      </c>
      <c r="C5" s="6">
        <v>61.2</v>
      </c>
      <c r="D5" s="6">
        <v>1</v>
      </c>
      <c r="E5" s="6">
        <v>7</v>
      </c>
      <c r="F5" s="6">
        <v>4</v>
      </c>
      <c r="G5" s="6">
        <v>78.099999999999994</v>
      </c>
      <c r="H5" s="6">
        <v>10</v>
      </c>
      <c r="I5" s="6">
        <v>213.4</v>
      </c>
      <c r="J5" s="6">
        <v>8.5</v>
      </c>
      <c r="K5" s="7">
        <v>24</v>
      </c>
      <c r="L5" s="7">
        <v>48</v>
      </c>
      <c r="M5" s="7">
        <v>3</v>
      </c>
      <c r="N5" s="7">
        <v>19.47</v>
      </c>
      <c r="O5" s="7">
        <v>29</v>
      </c>
      <c r="P5" s="7">
        <v>58</v>
      </c>
      <c r="Q5" s="7">
        <v>26</v>
      </c>
      <c r="R5" s="7">
        <v>78</v>
      </c>
      <c r="S5" s="7">
        <v>26</v>
      </c>
      <c r="T5" s="7">
        <v>52</v>
      </c>
    </row>
    <row r="6" spans="1:20" x14ac:dyDescent="0.25">
      <c r="A6" s="3" t="s">
        <v>43</v>
      </c>
      <c r="B6" s="4">
        <v>1</v>
      </c>
      <c r="C6" s="5">
        <v>72.599999999999994</v>
      </c>
      <c r="D6" s="5">
        <v>2</v>
      </c>
      <c r="E6" s="5">
        <v>5</v>
      </c>
      <c r="F6" s="4">
        <v>9</v>
      </c>
      <c r="G6" s="4">
        <v>113.2</v>
      </c>
      <c r="H6" s="4">
        <v>7</v>
      </c>
      <c r="I6" s="4">
        <v>144.69999999999999</v>
      </c>
      <c r="J6" s="4">
        <v>42</v>
      </c>
      <c r="K6" s="4">
        <v>36</v>
      </c>
      <c r="L6" s="4">
        <v>72</v>
      </c>
      <c r="M6" s="4">
        <v>0</v>
      </c>
      <c r="N6" s="4">
        <v>0</v>
      </c>
      <c r="O6" s="4">
        <v>7</v>
      </c>
      <c r="P6" s="4">
        <v>14</v>
      </c>
      <c r="Q6" s="4">
        <v>53</v>
      </c>
      <c r="R6" s="4">
        <v>212</v>
      </c>
      <c r="S6" s="4">
        <v>14</v>
      </c>
      <c r="T6" s="4">
        <v>28</v>
      </c>
    </row>
    <row r="7" spans="1:20" x14ac:dyDescent="0.25">
      <c r="A7" s="3" t="s">
        <v>46</v>
      </c>
      <c r="B7" s="4">
        <v>2</v>
      </c>
      <c r="C7" s="5">
        <v>57.9</v>
      </c>
      <c r="D7" s="5">
        <v>0</v>
      </c>
      <c r="E7" s="5">
        <v>4</v>
      </c>
      <c r="F7" s="4">
        <v>3</v>
      </c>
      <c r="G7" s="4">
        <v>24</v>
      </c>
      <c r="H7" s="4">
        <v>9</v>
      </c>
      <c r="I7" s="4">
        <v>270</v>
      </c>
      <c r="J7" s="4">
        <v>6</v>
      </c>
      <c r="K7" s="4">
        <v>12</v>
      </c>
      <c r="L7" s="4">
        <v>24</v>
      </c>
      <c r="M7" s="4">
        <v>4</v>
      </c>
      <c r="N7" s="4">
        <v>41.12</v>
      </c>
      <c r="O7" s="4">
        <v>24</v>
      </c>
      <c r="P7" s="4">
        <v>50</v>
      </c>
      <c r="Q7" s="4">
        <v>40</v>
      </c>
      <c r="R7" s="4">
        <v>120</v>
      </c>
      <c r="S7" s="4">
        <v>14</v>
      </c>
      <c r="T7" s="4">
        <v>28</v>
      </c>
    </row>
    <row r="8" spans="1:20" x14ac:dyDescent="0.25">
      <c r="A8" s="3" t="s">
        <v>19</v>
      </c>
      <c r="B8" s="4">
        <v>21</v>
      </c>
      <c r="C8" s="5">
        <v>74.400000000000006</v>
      </c>
      <c r="D8" s="5">
        <v>4</v>
      </c>
      <c r="E8" s="5">
        <v>11</v>
      </c>
      <c r="F8" s="4">
        <v>8</v>
      </c>
      <c r="G8" s="4">
        <v>101.8</v>
      </c>
      <c r="H8" s="4">
        <v>10</v>
      </c>
      <c r="I8" s="4">
        <v>128.34</v>
      </c>
      <c r="J8" s="4">
        <v>69.03</v>
      </c>
      <c r="K8" s="4">
        <v>51</v>
      </c>
      <c r="L8" s="4">
        <v>51</v>
      </c>
      <c r="M8" s="4">
        <v>0</v>
      </c>
      <c r="N8" s="4">
        <v>0</v>
      </c>
      <c r="O8" s="4">
        <v>16</v>
      </c>
      <c r="P8" s="4">
        <v>32</v>
      </c>
      <c r="Q8" s="4">
        <v>37</v>
      </c>
      <c r="R8" s="4">
        <v>148</v>
      </c>
      <c r="S8" s="4">
        <v>16</v>
      </c>
      <c r="T8" s="4">
        <v>32</v>
      </c>
    </row>
    <row r="9" spans="1:20" x14ac:dyDescent="0.25">
      <c r="A9" s="3" t="s">
        <v>22</v>
      </c>
      <c r="B9" s="4">
        <v>2.9</v>
      </c>
      <c r="C9" s="5">
        <v>82.2</v>
      </c>
      <c r="D9" s="5">
        <v>0</v>
      </c>
      <c r="E9" s="5">
        <v>4</v>
      </c>
      <c r="F9" s="4">
        <v>1</v>
      </c>
      <c r="G9" s="4">
        <v>4</v>
      </c>
      <c r="H9" s="4">
        <v>11</v>
      </c>
      <c r="I9" s="4">
        <v>260.43</v>
      </c>
      <c r="J9" s="4">
        <v>35.6</v>
      </c>
      <c r="K9" s="4">
        <v>7</v>
      </c>
      <c r="L9" s="4">
        <v>7</v>
      </c>
      <c r="M9" s="4">
        <v>1</v>
      </c>
      <c r="N9" s="4">
        <v>6</v>
      </c>
      <c r="O9" s="4">
        <v>27</v>
      </c>
      <c r="P9" s="4">
        <v>32</v>
      </c>
      <c r="Q9" s="4">
        <v>51</v>
      </c>
      <c r="R9" s="4">
        <v>204</v>
      </c>
      <c r="S9" s="4">
        <v>16</v>
      </c>
      <c r="T9" s="4">
        <v>32</v>
      </c>
    </row>
    <row r="10" spans="1:20" x14ac:dyDescent="0.25">
      <c r="A10" s="3" t="s">
        <v>23</v>
      </c>
      <c r="B10" s="4">
        <v>1</v>
      </c>
      <c r="C10" s="5">
        <v>53.3</v>
      </c>
      <c r="D10" s="5">
        <v>0</v>
      </c>
      <c r="E10" s="5">
        <v>3</v>
      </c>
      <c r="F10" s="4">
        <v>10</v>
      </c>
      <c r="G10" s="4">
        <v>84.6</v>
      </c>
      <c r="H10" s="4">
        <v>16</v>
      </c>
      <c r="I10" s="4">
        <v>195.6</v>
      </c>
      <c r="J10" s="4">
        <v>20</v>
      </c>
      <c r="K10" s="4">
        <v>28</v>
      </c>
      <c r="L10" s="4">
        <v>35</v>
      </c>
      <c r="M10" s="4">
        <v>2</v>
      </c>
      <c r="N10" s="4">
        <v>25.26</v>
      </c>
      <c r="O10" s="4">
        <v>28</v>
      </c>
      <c r="P10" s="4">
        <v>30</v>
      </c>
      <c r="Q10" s="4">
        <v>45</v>
      </c>
      <c r="R10" s="4">
        <v>180</v>
      </c>
      <c r="S10" s="4">
        <v>14</v>
      </c>
      <c r="T10" s="4">
        <v>28</v>
      </c>
    </row>
    <row r="11" spans="1:20" x14ac:dyDescent="0.25">
      <c r="A11" s="3" t="s">
        <v>24</v>
      </c>
      <c r="B11" s="4">
        <v>20.399999999999999</v>
      </c>
      <c r="C11" s="5">
        <v>70.8</v>
      </c>
      <c r="D11" s="5">
        <v>1</v>
      </c>
      <c r="E11" s="5">
        <v>8</v>
      </c>
      <c r="F11" s="4">
        <v>4</v>
      </c>
      <c r="G11" s="4">
        <v>70.16</v>
      </c>
      <c r="H11" s="4">
        <v>14</v>
      </c>
      <c r="I11" s="4">
        <v>190.86</v>
      </c>
      <c r="J11" s="4">
        <v>38.9</v>
      </c>
      <c r="K11" s="4">
        <v>16</v>
      </c>
      <c r="L11" s="4">
        <v>20</v>
      </c>
      <c r="M11" s="4">
        <v>2</v>
      </c>
      <c r="N11" s="4">
        <v>19.600000000000001</v>
      </c>
      <c r="O11" s="4">
        <v>30</v>
      </c>
      <c r="P11" s="4">
        <v>35</v>
      </c>
      <c r="Q11" s="4">
        <v>52</v>
      </c>
      <c r="R11" s="4">
        <v>208</v>
      </c>
      <c r="S11" s="4">
        <v>11</v>
      </c>
      <c r="T11" s="4">
        <v>22</v>
      </c>
    </row>
    <row r="13" spans="1:20" x14ac:dyDescent="0.25">
      <c r="A13" s="11" t="s">
        <v>69</v>
      </c>
    </row>
    <row r="14" spans="1:20" x14ac:dyDescent="0.25">
      <c r="A14" s="3" t="s">
        <v>38</v>
      </c>
      <c r="B14" s="6">
        <v>1</v>
      </c>
      <c r="C14" s="6">
        <v>137.4</v>
      </c>
      <c r="D14" s="6">
        <v>4</v>
      </c>
      <c r="E14" s="6">
        <v>6</v>
      </c>
      <c r="F14" s="6">
        <v>5</v>
      </c>
      <c r="G14" s="6">
        <v>180.5</v>
      </c>
      <c r="H14" s="6">
        <v>1</v>
      </c>
      <c r="I14" s="6">
        <v>3</v>
      </c>
      <c r="J14" s="6">
        <v>116</v>
      </c>
      <c r="K14" s="7">
        <v>41</v>
      </c>
      <c r="L14" s="7">
        <v>82</v>
      </c>
      <c r="M14" s="7">
        <v>0</v>
      </c>
      <c r="N14" s="7">
        <v>0</v>
      </c>
      <c r="O14" s="7">
        <v>4</v>
      </c>
      <c r="P14" s="7">
        <v>8</v>
      </c>
      <c r="Q14" s="7">
        <v>20</v>
      </c>
      <c r="R14" s="7">
        <v>60</v>
      </c>
      <c r="S14" s="7">
        <v>30</v>
      </c>
      <c r="T14" s="7">
        <v>60</v>
      </c>
    </row>
    <row r="15" spans="1:20" x14ac:dyDescent="0.25">
      <c r="A15" s="3" t="s">
        <v>39</v>
      </c>
      <c r="B15" s="6">
        <v>1</v>
      </c>
      <c r="C15" s="6">
        <v>85.6</v>
      </c>
      <c r="D15" s="6">
        <v>1</v>
      </c>
      <c r="E15" s="6">
        <v>11</v>
      </c>
      <c r="F15" s="6">
        <v>8</v>
      </c>
      <c r="G15" s="6">
        <v>129.1</v>
      </c>
      <c r="H15" s="6">
        <v>9</v>
      </c>
      <c r="I15" s="6">
        <v>123.6</v>
      </c>
      <c r="J15" s="6">
        <v>47.3</v>
      </c>
      <c r="K15" s="7">
        <v>43</v>
      </c>
      <c r="L15" s="7">
        <v>86</v>
      </c>
      <c r="M15" s="7">
        <v>0</v>
      </c>
      <c r="N15" s="7">
        <v>0</v>
      </c>
      <c r="O15" s="7">
        <v>24</v>
      </c>
      <c r="P15" s="7">
        <v>48</v>
      </c>
      <c r="Q15" s="7">
        <v>13</v>
      </c>
      <c r="R15" s="7">
        <v>30</v>
      </c>
      <c r="S15" s="7">
        <v>53</v>
      </c>
      <c r="T15" s="7">
        <v>106</v>
      </c>
    </row>
    <row r="16" spans="1:20" x14ac:dyDescent="0.25">
      <c r="A16" s="3" t="s">
        <v>42</v>
      </c>
      <c r="B16" s="6">
        <v>1</v>
      </c>
      <c r="C16" s="6">
        <v>63.6</v>
      </c>
      <c r="D16" s="6">
        <v>0</v>
      </c>
      <c r="E16" s="6">
        <v>7</v>
      </c>
      <c r="F16" s="6">
        <v>2</v>
      </c>
      <c r="G16" s="6">
        <v>23.6</v>
      </c>
      <c r="H16" s="6">
        <v>15</v>
      </c>
      <c r="I16" s="6">
        <v>230</v>
      </c>
      <c r="J16" s="6">
        <v>46.4</v>
      </c>
      <c r="K16" s="7">
        <v>15</v>
      </c>
      <c r="L16" s="7">
        <v>30</v>
      </c>
      <c r="M16" s="7">
        <v>3</v>
      </c>
      <c r="N16" s="7">
        <v>19</v>
      </c>
      <c r="O16" s="7">
        <v>24</v>
      </c>
      <c r="P16" s="7">
        <v>48</v>
      </c>
      <c r="Q16" s="7">
        <v>26</v>
      </c>
      <c r="R16" s="7">
        <v>53</v>
      </c>
      <c r="S16" s="7">
        <v>19</v>
      </c>
      <c r="T16" s="7">
        <v>43</v>
      </c>
    </row>
    <row r="17" spans="1:20" x14ac:dyDescent="0.25">
      <c r="A17" s="3" t="s">
        <v>44</v>
      </c>
      <c r="B17" s="4">
        <v>3</v>
      </c>
      <c r="C17" s="5">
        <v>77.400000000000006</v>
      </c>
      <c r="D17" s="5">
        <v>2</v>
      </c>
      <c r="E17" s="5">
        <v>10</v>
      </c>
      <c r="F17" s="4">
        <v>4</v>
      </c>
      <c r="G17" s="4">
        <v>138.35</v>
      </c>
      <c r="H17" s="4">
        <v>6</v>
      </c>
      <c r="I17" s="4">
        <v>80.31</v>
      </c>
      <c r="J17" s="4">
        <v>81.34</v>
      </c>
      <c r="K17" s="4">
        <v>40</v>
      </c>
      <c r="L17" s="4">
        <v>80</v>
      </c>
      <c r="M17" s="4">
        <v>0</v>
      </c>
      <c r="N17" s="4">
        <v>0</v>
      </c>
      <c r="O17" s="4">
        <v>4</v>
      </c>
      <c r="P17" s="4">
        <v>4</v>
      </c>
      <c r="Q17" s="4">
        <v>23</v>
      </c>
      <c r="R17" s="4">
        <v>69</v>
      </c>
      <c r="S17" s="4">
        <v>37</v>
      </c>
      <c r="T17" s="4">
        <v>74</v>
      </c>
    </row>
    <row r="18" spans="1:20" x14ac:dyDescent="0.25">
      <c r="A18" s="3" t="s">
        <v>45</v>
      </c>
      <c r="B18" s="4">
        <v>26.4</v>
      </c>
      <c r="C18" s="5">
        <v>68.400000000000006</v>
      </c>
      <c r="D18" s="5">
        <v>7</v>
      </c>
      <c r="E18" s="5">
        <v>8</v>
      </c>
      <c r="F18" s="4">
        <v>9</v>
      </c>
      <c r="G18" s="4">
        <v>169.3</v>
      </c>
      <c r="H18" s="4">
        <v>5</v>
      </c>
      <c r="I18" s="4">
        <v>97.88</v>
      </c>
      <c r="J18" s="4">
        <v>32.82</v>
      </c>
      <c r="K18" s="4">
        <v>36</v>
      </c>
      <c r="L18" s="4">
        <v>72</v>
      </c>
      <c r="M18" s="4">
        <v>0</v>
      </c>
      <c r="N18" s="4">
        <v>0</v>
      </c>
      <c r="O18" s="4">
        <v>2</v>
      </c>
      <c r="P18" s="4">
        <v>2</v>
      </c>
      <c r="Q18" s="4">
        <v>17</v>
      </c>
      <c r="R18" s="4">
        <v>1</v>
      </c>
      <c r="S18" s="4">
        <v>36</v>
      </c>
      <c r="T18" s="4">
        <v>72</v>
      </c>
    </row>
    <row r="19" spans="1:20" x14ac:dyDescent="0.25">
      <c r="A19" s="3" t="s">
        <v>47</v>
      </c>
      <c r="B19" s="4">
        <v>1</v>
      </c>
      <c r="C19" s="5">
        <v>55</v>
      </c>
      <c r="D19" s="5">
        <v>3</v>
      </c>
      <c r="E19" s="5">
        <v>3</v>
      </c>
      <c r="F19" s="4">
        <v>4</v>
      </c>
      <c r="G19" s="4">
        <v>34.200000000000003</v>
      </c>
      <c r="H19" s="4">
        <v>11</v>
      </c>
      <c r="I19" s="4">
        <v>232.6</v>
      </c>
      <c r="J19" s="4">
        <v>33.200000000000003</v>
      </c>
      <c r="K19" s="4">
        <v>18</v>
      </c>
      <c r="L19" s="4">
        <v>36</v>
      </c>
      <c r="M19" s="4">
        <v>5</v>
      </c>
      <c r="N19" s="4">
        <v>28.07</v>
      </c>
      <c r="O19" s="4">
        <v>26</v>
      </c>
      <c r="P19" s="4">
        <v>52</v>
      </c>
      <c r="Q19" s="4">
        <v>46</v>
      </c>
      <c r="R19" s="4">
        <v>138</v>
      </c>
      <c r="S19" s="4">
        <v>10</v>
      </c>
      <c r="T19" s="4">
        <v>20</v>
      </c>
    </row>
    <row r="20" spans="1:20" x14ac:dyDescent="0.25">
      <c r="A20" s="3" t="s">
        <v>48</v>
      </c>
      <c r="B20" s="4">
        <v>1</v>
      </c>
      <c r="C20" s="5">
        <v>49.62</v>
      </c>
      <c r="D20" s="5">
        <v>1</v>
      </c>
      <c r="E20" s="5">
        <v>7</v>
      </c>
      <c r="F20" s="4">
        <v>2</v>
      </c>
      <c r="G20" s="4">
        <v>27</v>
      </c>
      <c r="H20" s="4">
        <v>11</v>
      </c>
      <c r="I20" s="4">
        <v>231.7</v>
      </c>
      <c r="J20" s="4">
        <v>41</v>
      </c>
      <c r="K20" s="4">
        <v>13</v>
      </c>
      <c r="L20" s="4">
        <v>26</v>
      </c>
      <c r="M20" s="4">
        <v>2</v>
      </c>
      <c r="N20" s="4">
        <v>16.329999999999998</v>
      </c>
      <c r="O20" s="4">
        <v>31</v>
      </c>
      <c r="P20" s="4">
        <v>62</v>
      </c>
      <c r="Q20" s="4">
        <v>23</v>
      </c>
      <c r="R20" s="4">
        <v>78</v>
      </c>
      <c r="S20" s="4">
        <v>13</v>
      </c>
      <c r="T20" s="4">
        <v>26</v>
      </c>
    </row>
    <row r="21" spans="1:20" x14ac:dyDescent="0.25">
      <c r="A21" s="3" t="s">
        <v>20</v>
      </c>
      <c r="B21" s="4">
        <v>1.5</v>
      </c>
      <c r="C21" s="5">
        <v>127.8</v>
      </c>
      <c r="D21" s="5">
        <v>1</v>
      </c>
      <c r="E21" s="5">
        <v>9</v>
      </c>
      <c r="F21" s="4">
        <v>7</v>
      </c>
      <c r="G21" s="4">
        <v>109.26</v>
      </c>
      <c r="H21" s="4">
        <v>8</v>
      </c>
      <c r="I21" s="4">
        <v>91.41</v>
      </c>
      <c r="J21" s="4">
        <v>102</v>
      </c>
      <c r="K21" s="4">
        <v>36</v>
      </c>
      <c r="L21" s="4">
        <v>37</v>
      </c>
      <c r="M21" s="4">
        <v>0</v>
      </c>
      <c r="N21" s="4">
        <v>0</v>
      </c>
      <c r="O21" s="4">
        <v>6</v>
      </c>
      <c r="P21" s="4">
        <v>6</v>
      </c>
      <c r="Q21" s="4">
        <v>54</v>
      </c>
      <c r="R21" s="4">
        <v>216</v>
      </c>
      <c r="S21" s="4">
        <v>7</v>
      </c>
      <c r="T21" s="4">
        <v>14</v>
      </c>
    </row>
    <row r="22" spans="1:20" x14ac:dyDescent="0.25">
      <c r="A22" s="3" t="s">
        <v>21</v>
      </c>
      <c r="B22" s="4">
        <v>1</v>
      </c>
      <c r="C22" s="5">
        <v>90.6</v>
      </c>
      <c r="D22" s="5">
        <v>9</v>
      </c>
      <c r="E22" s="5">
        <v>10</v>
      </c>
      <c r="F22" s="4">
        <v>17</v>
      </c>
      <c r="G22" s="4">
        <v>188.92</v>
      </c>
      <c r="H22" s="4">
        <v>12</v>
      </c>
      <c r="I22" s="4">
        <v>77.14</v>
      </c>
      <c r="J22" s="4">
        <v>34</v>
      </c>
      <c r="K22" s="4">
        <v>67</v>
      </c>
      <c r="L22" s="4">
        <v>69</v>
      </c>
      <c r="M22" s="4">
        <v>0</v>
      </c>
      <c r="N22" s="4">
        <v>0</v>
      </c>
      <c r="O22" s="4">
        <v>13</v>
      </c>
      <c r="P22" s="4">
        <v>13</v>
      </c>
      <c r="Q22" s="4">
        <v>37</v>
      </c>
      <c r="R22" s="4">
        <v>148</v>
      </c>
      <c r="S22" s="4">
        <v>11</v>
      </c>
      <c r="T22" s="4">
        <v>22</v>
      </c>
    </row>
    <row r="23" spans="1:20" x14ac:dyDescent="0.25">
      <c r="A23" s="3" t="s">
        <v>25</v>
      </c>
      <c r="B23" s="4">
        <v>2</v>
      </c>
      <c r="C23" s="5">
        <v>42.78</v>
      </c>
      <c r="D23" s="5">
        <v>2</v>
      </c>
      <c r="E23" s="5">
        <v>4</v>
      </c>
      <c r="F23" s="4">
        <v>4</v>
      </c>
      <c r="G23" s="4">
        <v>58.6</v>
      </c>
      <c r="H23" s="4">
        <v>8</v>
      </c>
      <c r="I23" s="4">
        <v>220.9</v>
      </c>
      <c r="J23" s="4">
        <v>21</v>
      </c>
      <c r="K23" s="4">
        <v>16</v>
      </c>
      <c r="L23" s="4">
        <v>20</v>
      </c>
      <c r="M23" s="4">
        <v>4</v>
      </c>
      <c r="N23" s="4">
        <v>55.54</v>
      </c>
      <c r="O23" s="4">
        <v>25</v>
      </c>
      <c r="P23" s="4">
        <v>28</v>
      </c>
      <c r="Q23" s="4">
        <v>36</v>
      </c>
      <c r="R23" s="4">
        <v>144</v>
      </c>
      <c r="S23" s="4">
        <v>6</v>
      </c>
      <c r="T23" s="4">
        <v>12</v>
      </c>
    </row>
    <row r="24" spans="1:20" x14ac:dyDescent="0.25">
      <c r="A24" s="3" t="s">
        <v>26</v>
      </c>
      <c r="B24" s="4">
        <v>1</v>
      </c>
      <c r="C24" s="5">
        <v>63</v>
      </c>
      <c r="D24" s="5">
        <v>1</v>
      </c>
      <c r="E24" s="5">
        <v>7</v>
      </c>
      <c r="F24" s="4">
        <v>6</v>
      </c>
      <c r="G24" s="4">
        <v>60.64</v>
      </c>
      <c r="H24" s="4">
        <v>20</v>
      </c>
      <c r="I24" s="4">
        <v>208</v>
      </c>
      <c r="J24" s="4">
        <v>20</v>
      </c>
      <c r="K24" s="4">
        <v>11</v>
      </c>
      <c r="L24" s="4">
        <v>22</v>
      </c>
      <c r="M24" s="4">
        <v>4</v>
      </c>
      <c r="N24" s="4">
        <v>20.2</v>
      </c>
      <c r="O24" s="4">
        <v>42</v>
      </c>
      <c r="P24" s="4">
        <v>48</v>
      </c>
      <c r="Q24" s="4">
        <v>37</v>
      </c>
      <c r="R24" s="4">
        <v>111</v>
      </c>
      <c r="S24" s="4">
        <v>6</v>
      </c>
      <c r="T24" s="4">
        <v>12</v>
      </c>
    </row>
    <row r="25" spans="1:20" x14ac:dyDescent="0.25">
      <c r="A25" s="3" t="s">
        <v>27</v>
      </c>
      <c r="B25" s="4">
        <v>1</v>
      </c>
      <c r="C25" s="5">
        <v>56.52</v>
      </c>
      <c r="D25" s="5">
        <v>5</v>
      </c>
      <c r="E25" s="5">
        <v>6</v>
      </c>
      <c r="F25" s="4">
        <v>6</v>
      </c>
      <c r="G25" s="4">
        <v>92.7</v>
      </c>
      <c r="H25" s="4">
        <v>11</v>
      </c>
      <c r="I25" s="4">
        <v>180.8</v>
      </c>
      <c r="J25" s="4">
        <v>33</v>
      </c>
      <c r="K25" s="4">
        <v>16</v>
      </c>
      <c r="L25" s="4">
        <v>32</v>
      </c>
      <c r="M25" s="4">
        <v>3</v>
      </c>
      <c r="N25" s="4">
        <v>4.8099999999999996</v>
      </c>
      <c r="O25" s="4">
        <v>34</v>
      </c>
      <c r="P25" s="4">
        <v>68</v>
      </c>
      <c r="Q25" s="4">
        <v>28</v>
      </c>
      <c r="R25" s="4">
        <v>84</v>
      </c>
      <c r="S25" s="4">
        <v>5</v>
      </c>
      <c r="T25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T25"/>
  <sheetViews>
    <sheetView tabSelected="1" topLeftCell="A4" workbookViewId="0">
      <selection activeCell="E22" sqref="E22"/>
    </sheetView>
  </sheetViews>
  <sheetFormatPr baseColWidth="10" defaultColWidth="14.42578125" defaultRowHeight="15" customHeight="1" x14ac:dyDescent="0.25"/>
  <sheetData>
    <row r="1" spans="1:20" x14ac:dyDescent="0.25">
      <c r="A1" s="2" t="s">
        <v>70</v>
      </c>
      <c r="B1" s="1" t="s">
        <v>0</v>
      </c>
      <c r="C1" s="2" t="s">
        <v>1</v>
      </c>
      <c r="D1" s="2" t="s">
        <v>2</v>
      </c>
      <c r="E1" s="2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 x14ac:dyDescent="0.25">
      <c r="A2" s="9" t="s">
        <v>49</v>
      </c>
      <c r="B2" s="6">
        <v>1</v>
      </c>
      <c r="C2" s="6">
        <v>188.4</v>
      </c>
      <c r="D2" s="6">
        <v>0</v>
      </c>
      <c r="E2" s="6">
        <v>8</v>
      </c>
      <c r="F2" s="6">
        <v>3</v>
      </c>
      <c r="G2" s="6">
        <v>78.459999999999994</v>
      </c>
      <c r="H2" s="6">
        <v>3</v>
      </c>
      <c r="I2" s="6">
        <v>46.76</v>
      </c>
      <c r="J2" s="6">
        <v>174.78</v>
      </c>
      <c r="K2" s="6">
        <v>29</v>
      </c>
      <c r="L2" s="6">
        <v>65</v>
      </c>
      <c r="M2" s="6">
        <v>1</v>
      </c>
      <c r="N2" s="7">
        <v>5</v>
      </c>
      <c r="O2" s="7">
        <v>8</v>
      </c>
      <c r="P2" s="7">
        <v>16</v>
      </c>
      <c r="Q2" s="7">
        <v>13</v>
      </c>
      <c r="R2" s="7">
        <v>30</v>
      </c>
      <c r="S2" s="7">
        <v>34</v>
      </c>
      <c r="T2" s="7">
        <v>68</v>
      </c>
    </row>
    <row r="3" spans="1:20" x14ac:dyDescent="0.25">
      <c r="A3" s="9" t="s">
        <v>50</v>
      </c>
      <c r="B3" s="6">
        <v>6</v>
      </c>
      <c r="C3" s="6">
        <v>153.6</v>
      </c>
      <c r="D3" s="6">
        <v>1</v>
      </c>
      <c r="E3" s="6">
        <v>5</v>
      </c>
      <c r="F3" s="6">
        <v>5</v>
      </c>
      <c r="G3" s="6">
        <v>84.1</v>
      </c>
      <c r="H3" s="6">
        <v>7</v>
      </c>
      <c r="I3" s="6">
        <v>70.5</v>
      </c>
      <c r="J3" s="6">
        <v>145.4</v>
      </c>
      <c r="K3" s="6">
        <v>34</v>
      </c>
      <c r="L3" s="6">
        <v>68</v>
      </c>
      <c r="M3" s="6">
        <v>0</v>
      </c>
      <c r="N3" s="7">
        <v>0</v>
      </c>
      <c r="O3" s="7">
        <v>7</v>
      </c>
      <c r="P3" s="7">
        <v>14</v>
      </c>
      <c r="Q3" s="7">
        <v>13</v>
      </c>
      <c r="R3" s="7">
        <v>30</v>
      </c>
      <c r="S3" s="7">
        <v>34</v>
      </c>
      <c r="T3" s="7">
        <v>72</v>
      </c>
    </row>
    <row r="4" spans="1:20" x14ac:dyDescent="0.25">
      <c r="A4" s="9" t="s">
        <v>53</v>
      </c>
      <c r="B4" s="6">
        <v>1</v>
      </c>
      <c r="C4" s="6">
        <v>56.97</v>
      </c>
      <c r="D4" s="6">
        <v>0</v>
      </c>
      <c r="E4" s="6">
        <v>5</v>
      </c>
      <c r="F4" s="6">
        <v>3</v>
      </c>
      <c r="G4" s="6">
        <v>40.9</v>
      </c>
      <c r="H4" s="6">
        <v>5</v>
      </c>
      <c r="I4" s="6">
        <v>226.2</v>
      </c>
      <c r="J4" s="6" t="s">
        <v>54</v>
      </c>
      <c r="K4" s="6">
        <v>16</v>
      </c>
      <c r="L4" s="6">
        <v>32</v>
      </c>
      <c r="M4" s="6">
        <v>3</v>
      </c>
      <c r="N4" s="7">
        <v>10.3</v>
      </c>
      <c r="O4" s="7">
        <v>28</v>
      </c>
      <c r="P4" s="7">
        <v>57</v>
      </c>
      <c r="Q4" s="7">
        <v>18</v>
      </c>
      <c r="R4" s="7">
        <v>40</v>
      </c>
      <c r="S4" s="7">
        <v>27</v>
      </c>
      <c r="T4" s="7">
        <v>60</v>
      </c>
    </row>
    <row r="5" spans="1:20" x14ac:dyDescent="0.25">
      <c r="A5" s="9" t="s">
        <v>55</v>
      </c>
      <c r="B5" s="6">
        <v>1</v>
      </c>
      <c r="C5" s="6">
        <v>61.2</v>
      </c>
      <c r="D5" s="6">
        <v>1</v>
      </c>
      <c r="E5" s="6">
        <v>7</v>
      </c>
      <c r="F5" s="6">
        <v>2</v>
      </c>
      <c r="G5" s="6">
        <v>35.5</v>
      </c>
      <c r="H5" s="6">
        <v>8</v>
      </c>
      <c r="I5" s="6">
        <v>220</v>
      </c>
      <c r="J5" s="6">
        <v>45</v>
      </c>
      <c r="K5" s="6">
        <v>22</v>
      </c>
      <c r="L5" s="6">
        <v>40</v>
      </c>
      <c r="M5" s="6">
        <v>3</v>
      </c>
      <c r="N5" s="7">
        <v>34.4</v>
      </c>
      <c r="O5" s="7">
        <v>25</v>
      </c>
      <c r="P5" s="7">
        <v>50</v>
      </c>
      <c r="Q5" s="7">
        <v>22</v>
      </c>
      <c r="R5" s="7">
        <v>44</v>
      </c>
      <c r="S5" s="7">
        <v>24</v>
      </c>
      <c r="T5" s="7">
        <v>50</v>
      </c>
    </row>
    <row r="6" spans="1:20" x14ac:dyDescent="0.25">
      <c r="A6" s="9" t="s">
        <v>58</v>
      </c>
      <c r="B6" s="4">
        <v>1</v>
      </c>
      <c r="C6" s="5">
        <v>77.400000000000006</v>
      </c>
      <c r="D6" s="5">
        <v>8</v>
      </c>
      <c r="E6" s="5">
        <v>10</v>
      </c>
      <c r="F6" s="4">
        <v>10</v>
      </c>
      <c r="G6" s="4">
        <v>203.2</v>
      </c>
      <c r="H6" s="4">
        <v>4</v>
      </c>
      <c r="I6" s="4">
        <v>44.33</v>
      </c>
      <c r="J6" s="4">
        <v>52.47</v>
      </c>
      <c r="K6" s="4">
        <v>55</v>
      </c>
      <c r="L6" s="4">
        <v>110</v>
      </c>
      <c r="M6" s="4">
        <v>0</v>
      </c>
      <c r="N6" s="4">
        <v>0</v>
      </c>
      <c r="O6" s="4">
        <v>4</v>
      </c>
      <c r="P6" s="4">
        <v>8</v>
      </c>
      <c r="Q6" s="4">
        <v>33</v>
      </c>
      <c r="R6" s="4">
        <v>132</v>
      </c>
      <c r="S6" s="4">
        <v>20</v>
      </c>
      <c r="T6" s="4">
        <v>40</v>
      </c>
    </row>
    <row r="7" spans="1:20" x14ac:dyDescent="0.25">
      <c r="A7" s="9" t="s">
        <v>62</v>
      </c>
      <c r="B7" s="4">
        <v>1</v>
      </c>
      <c r="C7" s="5">
        <v>61.8</v>
      </c>
      <c r="D7" s="5">
        <v>2</v>
      </c>
      <c r="E7" s="5">
        <v>5</v>
      </c>
      <c r="F7" s="4">
        <v>5</v>
      </c>
      <c r="G7" s="4">
        <v>48</v>
      </c>
      <c r="H7" s="4">
        <v>15</v>
      </c>
      <c r="I7" s="4">
        <v>228.68</v>
      </c>
      <c r="J7" s="4">
        <v>276.68</v>
      </c>
      <c r="K7" s="4">
        <v>16</v>
      </c>
      <c r="L7" s="4">
        <v>32</v>
      </c>
      <c r="M7" s="4">
        <v>1</v>
      </c>
      <c r="N7" s="4">
        <v>17.12</v>
      </c>
      <c r="O7" s="4">
        <v>22</v>
      </c>
      <c r="P7" s="4">
        <v>44</v>
      </c>
      <c r="Q7" s="4">
        <v>43</v>
      </c>
      <c r="R7" s="4">
        <v>129</v>
      </c>
      <c r="S7" s="4">
        <v>7</v>
      </c>
      <c r="T7" s="4">
        <v>14</v>
      </c>
    </row>
    <row r="8" spans="1:20" x14ac:dyDescent="0.25">
      <c r="A8" s="9" t="s">
        <v>63</v>
      </c>
      <c r="B8" s="4">
        <v>18</v>
      </c>
      <c r="C8" s="5">
        <v>66</v>
      </c>
      <c r="D8" s="5">
        <v>0</v>
      </c>
      <c r="E8" s="5">
        <v>7</v>
      </c>
      <c r="F8" s="4">
        <v>1</v>
      </c>
      <c r="G8" s="4">
        <v>17.5</v>
      </c>
      <c r="H8" s="4">
        <v>10</v>
      </c>
      <c r="I8" s="4">
        <v>236.1</v>
      </c>
      <c r="J8" s="4">
        <v>46</v>
      </c>
      <c r="K8" s="4">
        <v>15</v>
      </c>
      <c r="L8" s="4">
        <v>30</v>
      </c>
      <c r="M8" s="4">
        <v>2</v>
      </c>
      <c r="N8" s="4">
        <v>33.4</v>
      </c>
      <c r="O8" s="4">
        <v>20</v>
      </c>
      <c r="P8" s="4">
        <v>40</v>
      </c>
      <c r="Q8" s="4">
        <v>32</v>
      </c>
      <c r="R8" s="4">
        <v>96</v>
      </c>
      <c r="S8" s="4">
        <v>14</v>
      </c>
      <c r="T8" s="4">
        <v>28</v>
      </c>
    </row>
    <row r="9" spans="1:20" x14ac:dyDescent="0.25">
      <c r="A9" s="9" t="s">
        <v>28</v>
      </c>
      <c r="B9" s="4">
        <v>1</v>
      </c>
      <c r="C9" s="5">
        <v>69.599999999999994</v>
      </c>
      <c r="D9" s="5">
        <v>1</v>
      </c>
      <c r="E9" s="5">
        <v>6</v>
      </c>
      <c r="F9" s="4">
        <v>6</v>
      </c>
      <c r="G9" s="4">
        <v>144.5</v>
      </c>
      <c r="H9" s="4">
        <v>2</v>
      </c>
      <c r="I9" s="4">
        <v>107.6</v>
      </c>
      <c r="J9" s="4">
        <v>47.9</v>
      </c>
      <c r="K9" s="4">
        <v>18</v>
      </c>
      <c r="L9" s="4">
        <v>36</v>
      </c>
      <c r="M9" s="4">
        <v>2</v>
      </c>
      <c r="N9" s="4">
        <v>10</v>
      </c>
      <c r="O9" s="4">
        <v>3</v>
      </c>
      <c r="P9" s="4">
        <v>6</v>
      </c>
      <c r="Q9" s="4">
        <v>44</v>
      </c>
      <c r="R9" s="4">
        <v>88</v>
      </c>
      <c r="S9" s="4">
        <v>43</v>
      </c>
      <c r="T9" s="4">
        <v>43</v>
      </c>
    </row>
    <row r="10" spans="1:20" x14ac:dyDescent="0.25">
      <c r="A10" s="9" t="s">
        <v>30</v>
      </c>
      <c r="B10" s="4">
        <v>1</v>
      </c>
      <c r="C10" s="5">
        <v>63.6</v>
      </c>
      <c r="D10" s="5">
        <v>0</v>
      </c>
      <c r="E10" s="5">
        <v>6</v>
      </c>
      <c r="F10" s="4">
        <v>3</v>
      </c>
      <c r="G10" s="4">
        <v>27</v>
      </c>
      <c r="H10" s="4">
        <v>19</v>
      </c>
      <c r="I10" s="4">
        <v>239.4</v>
      </c>
      <c r="J10" s="4">
        <v>38</v>
      </c>
      <c r="K10" s="4">
        <v>6</v>
      </c>
      <c r="L10" s="4">
        <v>12</v>
      </c>
      <c r="M10" s="4">
        <v>4</v>
      </c>
      <c r="N10" s="4">
        <v>21.1</v>
      </c>
      <c r="O10" s="4">
        <v>27</v>
      </c>
      <c r="P10" s="4">
        <v>54</v>
      </c>
      <c r="Q10" s="4">
        <v>33</v>
      </c>
      <c r="R10" s="4">
        <v>66</v>
      </c>
      <c r="S10" s="4">
        <v>33</v>
      </c>
      <c r="T10" s="4">
        <v>66</v>
      </c>
    </row>
    <row r="11" spans="1:20" x14ac:dyDescent="0.25">
      <c r="A11" s="9" t="s">
        <v>31</v>
      </c>
      <c r="B11" s="4">
        <v>1</v>
      </c>
      <c r="C11" s="5">
        <v>9.86</v>
      </c>
      <c r="D11" s="5">
        <v>0</v>
      </c>
      <c r="E11" s="5">
        <v>0</v>
      </c>
      <c r="F11" s="4">
        <v>1</v>
      </c>
      <c r="G11" s="4">
        <v>8.3699999999999992</v>
      </c>
      <c r="H11" s="4">
        <v>5</v>
      </c>
      <c r="I11" s="4">
        <v>276.93</v>
      </c>
      <c r="J11" s="4">
        <v>14</v>
      </c>
      <c r="K11" s="4">
        <v>0</v>
      </c>
      <c r="L11" s="4">
        <v>0</v>
      </c>
      <c r="M11" s="4">
        <v>3</v>
      </c>
      <c r="N11" s="4">
        <v>106.28</v>
      </c>
      <c r="O11" s="4">
        <v>7</v>
      </c>
      <c r="P11" s="4">
        <v>14</v>
      </c>
      <c r="Q11" s="4">
        <v>5</v>
      </c>
      <c r="R11" s="4">
        <v>10</v>
      </c>
      <c r="S11" s="4">
        <v>2</v>
      </c>
      <c r="T11" s="4">
        <v>4</v>
      </c>
    </row>
    <row r="12" spans="1:20" x14ac:dyDescent="0.25">
      <c r="C12" s="8">
        <f>AVERAGE(C2:C11)</f>
        <v>80.843000000000004</v>
      </c>
    </row>
    <row r="13" spans="1:20" x14ac:dyDescent="0.25">
      <c r="A13" s="10" t="s">
        <v>69</v>
      </c>
    </row>
    <row r="14" spans="1:20" x14ac:dyDescent="0.25">
      <c r="A14" s="9" t="s">
        <v>51</v>
      </c>
      <c r="B14" s="6">
        <v>33.5</v>
      </c>
      <c r="C14" s="6">
        <v>248.4</v>
      </c>
      <c r="D14" s="6">
        <v>0</v>
      </c>
      <c r="E14" s="6">
        <v>5</v>
      </c>
      <c r="F14" s="6">
        <v>1</v>
      </c>
      <c r="G14" s="6">
        <v>8.1999999999999993</v>
      </c>
      <c r="H14" s="6">
        <v>5</v>
      </c>
      <c r="I14" s="6">
        <v>60</v>
      </c>
      <c r="J14" s="6">
        <v>231</v>
      </c>
      <c r="K14" s="6">
        <v>23</v>
      </c>
      <c r="L14" s="6">
        <v>40</v>
      </c>
      <c r="M14" s="6">
        <v>1</v>
      </c>
      <c r="N14" s="7">
        <v>4</v>
      </c>
      <c r="O14" s="7">
        <v>10</v>
      </c>
      <c r="P14" s="7">
        <v>20</v>
      </c>
      <c r="Q14" s="7">
        <v>22</v>
      </c>
      <c r="R14" s="7">
        <v>45</v>
      </c>
      <c r="S14" s="7">
        <v>44</v>
      </c>
      <c r="T14" s="7">
        <v>100</v>
      </c>
    </row>
    <row r="15" spans="1:20" x14ac:dyDescent="0.25">
      <c r="A15" s="9" t="s">
        <v>52</v>
      </c>
      <c r="B15" s="6">
        <v>1</v>
      </c>
      <c r="C15" s="6">
        <v>56.2</v>
      </c>
      <c r="D15" s="6">
        <v>2</v>
      </c>
      <c r="E15" s="6">
        <v>5</v>
      </c>
      <c r="F15" s="6">
        <v>14</v>
      </c>
      <c r="G15" s="6">
        <v>209.65</v>
      </c>
      <c r="H15" s="6">
        <v>10</v>
      </c>
      <c r="I15" s="6">
        <v>66.5</v>
      </c>
      <c r="J15" s="6">
        <v>23.85</v>
      </c>
      <c r="K15" s="6">
        <v>76</v>
      </c>
      <c r="L15" s="6">
        <v>152</v>
      </c>
      <c r="M15" s="6">
        <v>0</v>
      </c>
      <c r="N15" s="7">
        <v>0</v>
      </c>
      <c r="O15" s="7">
        <v>17</v>
      </c>
      <c r="P15" s="7">
        <v>34</v>
      </c>
      <c r="Q15" s="7">
        <v>17</v>
      </c>
      <c r="R15" s="7">
        <v>36</v>
      </c>
      <c r="S15" s="7">
        <v>31</v>
      </c>
      <c r="T15" s="7">
        <v>65</v>
      </c>
    </row>
    <row r="16" spans="1:20" x14ac:dyDescent="0.25">
      <c r="A16" s="9" t="s">
        <v>56</v>
      </c>
      <c r="B16" s="6">
        <v>1</v>
      </c>
      <c r="C16" s="6">
        <v>5.84</v>
      </c>
      <c r="D16" s="6">
        <v>3</v>
      </c>
      <c r="E16" s="6">
        <v>0</v>
      </c>
      <c r="F16" s="6">
        <v>3</v>
      </c>
      <c r="G16" s="6">
        <v>60.1</v>
      </c>
      <c r="H16" s="6">
        <v>2</v>
      </c>
      <c r="I16" s="6">
        <v>238</v>
      </c>
      <c r="J16" s="6">
        <v>2</v>
      </c>
      <c r="K16" s="6">
        <v>13</v>
      </c>
      <c r="L16" s="6">
        <v>26</v>
      </c>
      <c r="M16" s="6">
        <v>4</v>
      </c>
      <c r="N16" s="7">
        <v>27.3</v>
      </c>
      <c r="O16" s="7">
        <v>23</v>
      </c>
      <c r="P16" s="7">
        <v>45</v>
      </c>
      <c r="Q16" s="7">
        <v>20</v>
      </c>
      <c r="R16" s="7">
        <v>40</v>
      </c>
      <c r="S16" s="7">
        <v>16</v>
      </c>
      <c r="T16" s="7">
        <v>32</v>
      </c>
    </row>
    <row r="17" spans="1:20" x14ac:dyDescent="0.25">
      <c r="A17" s="9" t="s">
        <v>57</v>
      </c>
      <c r="B17" s="6">
        <v>1</v>
      </c>
      <c r="C17" s="6">
        <v>62.4</v>
      </c>
      <c r="D17" s="6">
        <v>6</v>
      </c>
      <c r="E17" s="6"/>
      <c r="F17" s="6">
        <v>6</v>
      </c>
      <c r="G17" s="6">
        <v>106.6</v>
      </c>
      <c r="H17" s="6">
        <v>8</v>
      </c>
      <c r="I17" s="6">
        <v>158.69999999999999</v>
      </c>
      <c r="J17" s="6">
        <v>34.700000000000003</v>
      </c>
      <c r="K17" s="6">
        <v>42</v>
      </c>
      <c r="L17" s="6">
        <v>84</v>
      </c>
      <c r="M17" s="6">
        <v>3</v>
      </c>
      <c r="N17" s="7">
        <v>17</v>
      </c>
      <c r="O17" s="7">
        <v>25</v>
      </c>
      <c r="P17" s="7">
        <v>50</v>
      </c>
      <c r="Q17" s="7">
        <v>17</v>
      </c>
      <c r="R17" s="7">
        <v>51</v>
      </c>
      <c r="S17" s="7">
        <v>17</v>
      </c>
      <c r="T17" s="7">
        <v>34</v>
      </c>
    </row>
    <row r="18" spans="1:20" x14ac:dyDescent="0.25">
      <c r="A18" s="9" t="s">
        <v>59</v>
      </c>
      <c r="B18" s="4">
        <v>1</v>
      </c>
      <c r="C18" s="5">
        <v>53.9</v>
      </c>
      <c r="D18" s="5">
        <v>8</v>
      </c>
      <c r="E18" s="5">
        <v>5</v>
      </c>
      <c r="F18" s="4">
        <v>9</v>
      </c>
      <c r="G18" s="4">
        <v>166.8</v>
      </c>
      <c r="H18" s="4">
        <v>4</v>
      </c>
      <c r="I18" s="4">
        <v>57.08</v>
      </c>
      <c r="J18" s="4">
        <v>76.12</v>
      </c>
      <c r="K18" s="4">
        <v>70</v>
      </c>
      <c r="L18" s="4">
        <v>140</v>
      </c>
      <c r="M18" s="4">
        <v>0</v>
      </c>
      <c r="N18" s="4">
        <v>0</v>
      </c>
      <c r="O18" s="4">
        <v>9</v>
      </c>
      <c r="P18" s="4">
        <v>18</v>
      </c>
      <c r="Q18" s="4">
        <v>18</v>
      </c>
      <c r="R18" s="4">
        <v>36</v>
      </c>
      <c r="S18" s="4">
        <v>23</v>
      </c>
      <c r="T18" s="4">
        <v>46</v>
      </c>
    </row>
    <row r="19" spans="1:20" x14ac:dyDescent="0.25">
      <c r="A19" s="9" t="s">
        <v>60</v>
      </c>
      <c r="B19" s="4">
        <v>1</v>
      </c>
      <c r="C19" s="5">
        <v>61.2</v>
      </c>
      <c r="D19" s="5">
        <v>10</v>
      </c>
      <c r="E19" s="5">
        <v>4</v>
      </c>
      <c r="F19" s="4">
        <v>14</v>
      </c>
      <c r="G19" s="4">
        <v>157.80000000000001</v>
      </c>
      <c r="H19" s="4">
        <v>14</v>
      </c>
      <c r="I19" s="4">
        <v>114.9</v>
      </c>
      <c r="J19" s="4">
        <v>27.3</v>
      </c>
      <c r="K19" s="4">
        <v>56</v>
      </c>
      <c r="L19" s="4">
        <v>112</v>
      </c>
      <c r="M19" s="4">
        <v>0</v>
      </c>
      <c r="N19" s="4">
        <v>0</v>
      </c>
      <c r="O19" s="4">
        <v>15</v>
      </c>
      <c r="P19" s="4">
        <v>30</v>
      </c>
      <c r="Q19" s="4">
        <v>46</v>
      </c>
      <c r="R19" s="4">
        <v>184</v>
      </c>
      <c r="S19" s="4">
        <v>22</v>
      </c>
      <c r="T19" s="4">
        <v>44</v>
      </c>
    </row>
    <row r="20" spans="1:20" x14ac:dyDescent="0.25">
      <c r="A20" s="9" t="s">
        <v>61</v>
      </c>
      <c r="B20" s="4">
        <v>1</v>
      </c>
      <c r="C20" s="5">
        <v>56.16</v>
      </c>
      <c r="D20" s="5">
        <v>8</v>
      </c>
      <c r="E20" s="5">
        <v>6</v>
      </c>
      <c r="F20" s="4">
        <v>18</v>
      </c>
      <c r="G20" s="4">
        <v>222.8</v>
      </c>
      <c r="H20" s="4">
        <v>10</v>
      </c>
      <c r="I20" s="4">
        <v>55.2</v>
      </c>
      <c r="J20" s="4">
        <v>22</v>
      </c>
      <c r="K20" s="4">
        <v>56</v>
      </c>
      <c r="L20" s="4">
        <v>113</v>
      </c>
      <c r="M20" s="4">
        <v>1</v>
      </c>
      <c r="N20" s="4">
        <v>4</v>
      </c>
      <c r="O20" s="4">
        <v>14</v>
      </c>
      <c r="P20" s="4">
        <v>23</v>
      </c>
      <c r="Q20" s="4">
        <v>23</v>
      </c>
      <c r="R20" s="4">
        <v>69</v>
      </c>
      <c r="S20" s="4">
        <v>20</v>
      </c>
      <c r="T20" s="4">
        <v>40</v>
      </c>
    </row>
    <row r="21" spans="1:20" x14ac:dyDescent="0.25">
      <c r="A21" s="9" t="s">
        <v>64</v>
      </c>
      <c r="B21" s="4">
        <v>2</v>
      </c>
      <c r="C21" s="5">
        <v>34.299999999999997</v>
      </c>
      <c r="D21" s="5">
        <v>2</v>
      </c>
      <c r="E21" s="5">
        <v>4</v>
      </c>
      <c r="F21" s="4">
        <v>4</v>
      </c>
      <c r="G21" s="4">
        <v>87.66</v>
      </c>
      <c r="H21" s="4">
        <v>8</v>
      </c>
      <c r="I21" s="4">
        <v>129.41999999999999</v>
      </c>
      <c r="J21" s="4">
        <v>217.08</v>
      </c>
      <c r="K21" s="4">
        <v>28</v>
      </c>
      <c r="L21" s="4">
        <v>56</v>
      </c>
      <c r="M21" s="4">
        <v>3</v>
      </c>
      <c r="N21" s="4">
        <v>22.71</v>
      </c>
      <c r="O21" s="4">
        <v>12</v>
      </c>
      <c r="P21" s="4">
        <v>24</v>
      </c>
      <c r="Q21" s="4">
        <v>28</v>
      </c>
      <c r="R21" s="4">
        <v>84</v>
      </c>
      <c r="S21" s="4">
        <v>7</v>
      </c>
      <c r="T21" s="4">
        <v>14</v>
      </c>
    </row>
    <row r="22" spans="1:20" x14ac:dyDescent="0.25">
      <c r="A22" s="9" t="s">
        <v>65</v>
      </c>
      <c r="B22" s="4">
        <v>2</v>
      </c>
      <c r="C22" s="5">
        <v>25.48</v>
      </c>
      <c r="D22" s="5">
        <v>5</v>
      </c>
      <c r="E22" s="5">
        <v>2</v>
      </c>
      <c r="F22" s="4">
        <v>5</v>
      </c>
      <c r="G22" s="4">
        <v>75</v>
      </c>
      <c r="H22" s="4">
        <v>11</v>
      </c>
      <c r="I22" s="4">
        <v>203</v>
      </c>
      <c r="J22" s="4">
        <v>22</v>
      </c>
      <c r="K22" s="4">
        <v>22</v>
      </c>
      <c r="L22" s="4">
        <v>45</v>
      </c>
      <c r="M22" s="4">
        <v>2</v>
      </c>
      <c r="N22" s="4">
        <v>37.07</v>
      </c>
      <c r="O22" s="4">
        <v>40</v>
      </c>
      <c r="P22" s="4">
        <v>86</v>
      </c>
      <c r="Q22" s="4">
        <v>41</v>
      </c>
      <c r="R22" s="4">
        <v>164</v>
      </c>
      <c r="S22" s="4">
        <v>0</v>
      </c>
      <c r="T22" s="4">
        <v>0</v>
      </c>
    </row>
    <row r="23" spans="1:20" x14ac:dyDescent="0.25">
      <c r="A23" s="9" t="s">
        <v>29</v>
      </c>
      <c r="B23" s="4">
        <v>1</v>
      </c>
      <c r="C23" s="5">
        <v>91.8</v>
      </c>
      <c r="D23" s="5">
        <v>4</v>
      </c>
      <c r="E23" s="5">
        <v>15</v>
      </c>
      <c r="F23" s="4">
        <v>10</v>
      </c>
      <c r="G23" s="4">
        <v>128</v>
      </c>
      <c r="H23" s="4">
        <v>9</v>
      </c>
      <c r="I23" s="4">
        <v>85.66</v>
      </c>
      <c r="J23" s="4">
        <v>86.34</v>
      </c>
      <c r="K23" s="4">
        <v>41</v>
      </c>
      <c r="L23" s="4">
        <v>82</v>
      </c>
      <c r="M23" s="4">
        <v>0</v>
      </c>
      <c r="N23" s="4">
        <v>0</v>
      </c>
      <c r="O23" s="4">
        <v>2</v>
      </c>
      <c r="P23" s="4">
        <v>4</v>
      </c>
      <c r="Q23" s="4">
        <v>48</v>
      </c>
      <c r="R23" s="4">
        <v>144</v>
      </c>
      <c r="S23" s="4">
        <v>25</v>
      </c>
      <c r="T23" s="4">
        <v>50</v>
      </c>
    </row>
    <row r="24" spans="1:20" x14ac:dyDescent="0.25">
      <c r="A24" s="9" t="s">
        <v>32</v>
      </c>
      <c r="B24" s="4">
        <v>3</v>
      </c>
      <c r="C24" s="5">
        <v>57.63</v>
      </c>
      <c r="D24" s="5">
        <v>2</v>
      </c>
      <c r="E24" s="5">
        <v>8</v>
      </c>
      <c r="F24" s="4">
        <v>2</v>
      </c>
      <c r="G24" s="4">
        <v>80</v>
      </c>
      <c r="H24" s="4">
        <v>11</v>
      </c>
      <c r="I24" s="4">
        <v>202</v>
      </c>
      <c r="J24" s="4">
        <v>18</v>
      </c>
      <c r="K24" s="4">
        <v>16</v>
      </c>
      <c r="L24" s="4">
        <v>32</v>
      </c>
      <c r="M24" s="4">
        <v>1</v>
      </c>
      <c r="N24" s="4">
        <v>4.6500000000000004</v>
      </c>
      <c r="O24" s="4">
        <v>38</v>
      </c>
      <c r="P24" s="4">
        <v>76</v>
      </c>
      <c r="Q24" s="4">
        <v>34</v>
      </c>
      <c r="R24" s="4">
        <v>68</v>
      </c>
      <c r="S24" s="4">
        <v>13</v>
      </c>
      <c r="T24" s="4">
        <v>26</v>
      </c>
    </row>
    <row r="25" spans="1:20" x14ac:dyDescent="0.25">
      <c r="A25" s="9" t="s">
        <v>33</v>
      </c>
      <c r="B25" s="4">
        <v>3</v>
      </c>
      <c r="C25" s="5">
        <v>20.5</v>
      </c>
      <c r="D25" s="5">
        <v>0</v>
      </c>
      <c r="E25" s="5">
        <v>2</v>
      </c>
      <c r="F25" s="4">
        <v>3</v>
      </c>
      <c r="G25" s="4">
        <v>160</v>
      </c>
      <c r="H25" s="4">
        <v>1</v>
      </c>
      <c r="I25" s="4" t="s">
        <v>34</v>
      </c>
      <c r="J25" s="4">
        <v>8</v>
      </c>
      <c r="K25" s="4">
        <v>11</v>
      </c>
      <c r="L25" s="4">
        <v>24</v>
      </c>
      <c r="M25" s="4">
        <v>1</v>
      </c>
      <c r="N25" s="4">
        <v>7.59</v>
      </c>
      <c r="O25" s="4">
        <v>11</v>
      </c>
      <c r="P25" s="4">
        <v>25</v>
      </c>
      <c r="Q25" s="4">
        <v>26</v>
      </c>
      <c r="R25" s="4">
        <v>53</v>
      </c>
      <c r="S25" s="4">
        <v>4</v>
      </c>
      <c r="T25" s="4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CAMPO ABIERTO AMBAS CEPAS</vt:lpstr>
      <vt:lpstr>CAMPO ABIERTO C57</vt:lpstr>
      <vt:lpstr>CAMPO ABIERTO BALB-C</vt:lpstr>
      <vt:lpstr>PM Estimulados total</vt:lpstr>
      <vt:lpstr>PM Control total</vt:lpstr>
      <vt:lpstr>PM Estimulado cepa</vt:lpstr>
      <vt:lpstr>PM Control cepa</vt:lpstr>
      <vt:lpstr>PM Estimulados sexo</vt:lpstr>
      <vt:lpstr>PM Control sexo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 Arbelaez Cordoba</dc:creator>
  <cp:lastModifiedBy>Natalia Arbelaez Cordoba</cp:lastModifiedBy>
  <dcterms:created xsi:type="dcterms:W3CDTF">2023-10-28T16:24:45Z</dcterms:created>
  <dcterms:modified xsi:type="dcterms:W3CDTF">2023-11-20T15:42:22Z</dcterms:modified>
</cp:coreProperties>
</file>